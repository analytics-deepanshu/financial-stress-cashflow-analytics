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KPI Summary" sheetId="2" state="visible" r:id="rId2"/>
    <sheet name="Monthly Trend" sheetId="3" state="visible" r:id="rId3"/>
    <sheet name="Category Spend" sheetId="4" state="visible" r:id="rId4"/>
    <sheet name="Customers" sheetId="5" state="visible" r:id="rId5"/>
    <sheet name="Band Summary" sheetId="6" state="visible" r:id="rId6"/>
    <sheet name="Watch List" sheetId="7" state="visible" r:id="rId7"/>
  </sheets>
  <definedNames>
    <definedName name="_xlnm._FilterDatabase" localSheetId="4" hidden="1">'Customers'!$A$1:$Q$121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;(₹#,##0);&quot;-&quot;"/>
    <numFmt numFmtId="165" formatCode="0.0%;(0.0%);&quot;-&quot;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color rgb="00008000"/>
    </font>
    <font>
      <name val="Arial"/>
      <i val="1"/>
      <color rgb="0052514E"/>
      <sz val="9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9"/>
      </patternFill>
    </fill>
    <fill>
      <patternFill patternType="solid">
        <fgColor rgb="00D8F0D8"/>
      </patternFill>
    </fill>
    <fill>
      <patternFill patternType="solid">
        <fgColor rgb="00FDEFC8"/>
      </patternFill>
    </fill>
    <fill>
      <patternFill patternType="solid">
        <fgColor rgb="00FAD9CB"/>
      </patternFill>
    </fill>
    <fill>
      <patternFill patternType="solid">
        <fgColor rgb="00F3C6C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8" fillId="0" borderId="1" applyAlignment="1" pivotButton="0" quotePrefix="0" xfId="0">
      <alignment horizontal="right"/>
    </xf>
    <xf numFmtId="0" fontId="9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7" fillId="3" borderId="0" pivotButton="0" quotePrefix="0" xfId="0"/>
    <xf numFmtId="164" fontId="7" fillId="3" borderId="0" pivotButton="0" quotePrefix="0" xfId="0"/>
    <xf numFmtId="165" fontId="7" fillId="3" borderId="0" pivotButton="0" quotePrefix="0" xfId="0"/>
    <xf numFmtId="166" fontId="6" fillId="0" borderId="1" pivotButton="0" quotePrefix="0" xfId="0"/>
    <xf numFmtId="165" fontId="6" fillId="0" borderId="1" pivotButton="0" quotePrefix="0" xfId="0"/>
    <xf numFmtId="2" fontId="6" fillId="0" borderId="1" pivotButton="0" quotePrefix="0" xfId="0"/>
    <xf numFmtId="0" fontId="7" fillId="4" borderId="1" pivotButton="0" quotePrefix="0" xfId="0"/>
    <xf numFmtId="1" fontId="5" fillId="0" borderId="1" pivotButton="0" quotePrefix="0" xfId="0"/>
    <xf numFmtId="166" fontId="5" fillId="0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0" borderId="1" pivotButton="0" quotePrefix="0" xfId="0"/>
    <xf numFmtId="1" fontId="7" fillId="0" borderId="1" pivotButton="0" quotePrefix="0" xfId="0"/>
    <xf numFmtId="165" fontId="7" fillId="0" borderId="1" pivotButton="0" quotePrefix="0" xfId="0"/>
    <xf numFmtId="166" fontId="7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D8F0D8"/>
        </patternFill>
      </fill>
    </dxf>
    <dxf>
      <fill>
        <patternFill patternType="solid">
          <fgColor rgb="00FDEFC8"/>
        </patternFill>
      </fill>
    </dxf>
    <dxf>
      <fill>
        <patternFill patternType="solid">
          <fgColor rgb="00FAD9CB"/>
        </patternFill>
      </fill>
    </dxf>
    <dxf>
      <fill>
        <patternFill patternType="solid">
          <fgColor rgb="00F3C6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  <smooth val="0"/>
        </ser>
        <ser>
          <idx val="1"/>
          <order val="1"/>
          <tx>
            <strRef>
              <f>'Monthly Trend'!C1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Trend'!$C$2:$C$13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</a:t>
                </a:r>
              </a:p>
            </rich>
          </tx>
        </title>
        <numFmt formatCode="₹#,##0,,&quot;M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savings rate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Trend'!G1</f>
            </strRef>
          </tx>
          <spPr>
            <a:solidFill>
              <a:srgbClr val="1BAF7A"/>
            </a:solidFill>
            <a:ln>
              <a:prstDash val="solid"/>
            </a:ln>
          </spPr>
          <cat>
            <numRef>
              <f>'Monthly Trend'!$A$2:$A$13</f>
            </numRef>
          </cat>
          <val>
            <numRef>
              <f>'Monthly Trend'!$G$2:$G$13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Customers per stress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'Band Summary'!B1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'Band Summary'!$A$2:$A$5</f>
            </numRef>
          </cat>
          <val>
            <numRef>
              <f>'Band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Financial Stress &amp; Cash-Flow Risk: Management Summary</t>
        </is>
      </c>
    </row>
    <row r="2">
      <c r="A2" s="2" t="inlineStr">
        <is>
          <t>Data: synthetic transactions for 120 customers, Oct 2024 to Sep 2025 (see project README).</t>
        </is>
      </c>
    </row>
    <row r="3">
      <c r="A3" s="2" t="inlineStr"/>
    </row>
    <row r="4">
      <c r="A4" s="3" t="inlineStr">
        <is>
          <t>Sheet guide</t>
        </is>
      </c>
    </row>
    <row r="5">
      <c r="A5" s="2" t="inlineStr">
        <is>
          <t>KPI Summary: headline numbers (all formulas, linked to the data sheets).</t>
        </is>
      </c>
    </row>
    <row r="6">
      <c r="A6" s="2" t="inlineStr">
        <is>
          <t>Monthly Trend: portfolio income, expenses and savings rate by month, with charts.</t>
        </is>
      </c>
    </row>
    <row r="7">
      <c r="A7" s="2" t="inlineStr">
        <is>
          <t>Category Spend: 12-month spend by category with share and rank.</t>
        </is>
      </c>
    </row>
    <row r="8">
      <c r="A8" s="2" t="inlineStr">
        <is>
          <t>Band Summary: customers per stress band and per occupation (COUNTIFS / AVERAGEIFS).</t>
        </is>
      </c>
    </row>
    <row r="9">
      <c r="A9" s="2" t="inlineStr">
        <is>
          <t>Customers: one row per customer with score, drivers and next-month forecast (filterable).</t>
        </is>
      </c>
    </row>
    <row r="10">
      <c r="A10" s="2" t="inlineStr">
        <is>
          <t>Watch List: customers to contact first, sorted by deficit probability.</t>
        </is>
      </c>
    </row>
    <row r="11">
      <c r="A11" s="2" t="inlineStr"/>
    </row>
    <row r="12">
      <c r="A12" s="3" t="inlineStr">
        <is>
          <t>Definitions</t>
        </is>
      </c>
    </row>
    <row r="13">
      <c r="A13" s="2" t="inlineStr">
        <is>
          <t>Income = salary, freelance, family support, stipend and interest credits. Borrowed money is not income.</t>
        </is>
      </c>
    </row>
    <row r="14">
      <c r="A14" s="2" t="inlineStr">
        <is>
          <t>Expenses = consumption + rent + EMIs + insurance + debt repayment. SIP investments are savings, not expenses.</t>
        </is>
      </c>
    </row>
    <row r="15">
      <c r="A15" s="2" t="inlineStr">
        <is>
          <t>Savings rate = (income - expenses) / income.</t>
        </is>
      </c>
    </row>
    <row r="16">
      <c r="A16" s="2" t="inlineStr">
        <is>
          <t>Fixed obligation ratio = (rent + EMI + insurance + debt repayment) / income, last 6 months.</t>
        </is>
      </c>
    </row>
    <row r="17">
      <c r="A17" s="2" t="inlineStr">
        <is>
          <t>Buffer months = current balance / average monthly essential spend.</t>
        </is>
      </c>
    </row>
    <row r="18">
      <c r="A18" s="2" t="inlineStr">
        <is>
          <t>Stress score 0-100: Low 0-30, Moderate 31-60, High 61-80, Critical 81-100. Method: docs/stress_score_methodology.md</t>
        </is>
      </c>
    </row>
    <row r="19">
      <c r="A19" s="2" t="inlineStr">
        <is>
          <t>Forecast tier: High if P(month-end balance &lt; 0) &gt;= 50%, Medium 20-50%, Low &lt; 20%.</t>
        </is>
      </c>
    </row>
    <row r="20">
      <c r="A20" s="2" t="inlineStr"/>
    </row>
    <row r="21">
      <c r="A21" s="2" t="inlineStr">
        <is>
          <t>Colour key: blue text = input data values; black text =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Headline KPIs (12 months, Oct 2024 to Sep 2025)</t>
        </is>
      </c>
    </row>
    <row r="2">
      <c r="A2" s="4" t="inlineStr">
        <is>
          <t>KPI</t>
        </is>
      </c>
      <c r="B2" s="4" t="inlineStr">
        <is>
          <t>Value</t>
        </is>
      </c>
    </row>
    <row r="3">
      <c r="A3" s="5" t="inlineStr">
        <is>
          <t>Total income</t>
        </is>
      </c>
      <c r="B3" s="6">
        <f>'Monthly Trend'!B14</f>
        <v/>
      </c>
    </row>
    <row r="4">
      <c r="A4" s="5" t="inlineStr">
        <is>
          <t>Total expenses</t>
        </is>
      </c>
      <c r="B4" s="6">
        <f>'Monthly Trend'!C14</f>
        <v/>
      </c>
    </row>
    <row r="5">
      <c r="A5" s="5" t="inlineStr">
        <is>
          <t>Net cash flow (income - expenses)</t>
        </is>
      </c>
      <c r="B5" s="6">
        <f>'Monthly Trend'!F14</f>
        <v/>
      </c>
    </row>
    <row r="6">
      <c r="A6" s="5" t="inlineStr">
        <is>
          <t>Portfolio savings rate</t>
        </is>
      </c>
      <c r="B6" s="7">
        <f>'Monthly Trend'!G14</f>
        <v/>
      </c>
    </row>
    <row r="7">
      <c r="A7" s="5" t="inlineStr">
        <is>
          <t>Total invested (SIPs)</t>
        </is>
      </c>
      <c r="B7" s="6">
        <f>'Monthly Trend'!D14</f>
        <v/>
      </c>
    </row>
    <row r="8">
      <c r="A8" s="5" t="inlineStr">
        <is>
          <t>Total borrowed (cards, loan apps, family)</t>
        </is>
      </c>
      <c r="B8" s="6">
        <f>'Monthly Trend'!E14</f>
        <v/>
      </c>
    </row>
    <row r="9">
      <c r="A9" s="5" t="inlineStr">
        <is>
          <t>Customers</t>
        </is>
      </c>
      <c r="B9" s="8">
        <f>COUNTA(Customers!$A$2:$A$121)</f>
        <v/>
      </c>
    </row>
    <row r="10">
      <c r="A10" s="5" t="inlineStr">
        <is>
          <t>Average stress score</t>
        </is>
      </c>
      <c r="B10" s="9">
        <f>AVERAGE(Customers!$G$2:$G$121)</f>
        <v/>
      </c>
    </row>
    <row r="11">
      <c r="A11" s="5" t="inlineStr">
        <is>
          <t>Customers in High or Critical stress</t>
        </is>
      </c>
      <c r="B11" s="8">
        <f>COUNTIF(Customers!$H:$H,"High")+COUNTIF(Customers!$H:$H,"Critical")</f>
        <v/>
      </c>
    </row>
    <row r="12">
      <c r="A12" s="5" t="inlineStr">
        <is>
          <t>...as % of customers</t>
        </is>
      </c>
      <c r="B12" s="7">
        <f>IFERROR(B11/B9,0)</f>
        <v/>
      </c>
    </row>
    <row r="13">
      <c r="A13" s="5" t="inlineStr">
        <is>
          <t>Customers with &lt; 1 month buffer</t>
        </is>
      </c>
      <c r="B13" s="8">
        <f>COUNTIF(Customers!$L$2:$L$121,"&lt;1")</f>
        <v/>
      </c>
    </row>
    <row r="14">
      <c r="A14" s="5" t="inlineStr">
        <is>
          <t>Customers flagged High/Medium for next month</t>
        </is>
      </c>
      <c r="B14" s="8">
        <f>COUNTIF(Customers!$Q:$Q,"High")+COUNTIF(Customers!$Q:$Q,"Medium")</f>
        <v/>
      </c>
    </row>
    <row r="15">
      <c r="A15" s="5" t="inlineStr">
        <is>
          <t>Median savings rate (6m)</t>
        </is>
      </c>
      <c r="B15" s="7">
        <f>MEDIAN(Customers!$J$2:$J$121)</f>
        <v/>
      </c>
    </row>
    <row r="16">
      <c r="A16" s="5" t="inlineStr">
        <is>
          <t>Lowest-saving month</t>
        </is>
      </c>
      <c r="B16" s="10">
        <f>INDEX('Monthly Trend'!A2:A13,MATCH(MIN('Monthly Trend'!G2:G13),'Monthly Trend'!G2:G13,0))</f>
        <v/>
      </c>
    </row>
    <row r="17">
      <c r="A17" s="5" t="inlineStr">
        <is>
          <t>Highest-saving month</t>
        </is>
      </c>
      <c r="B17" s="10">
        <f>INDEX('Monthly Trend'!A2:A13,MATCH(MAX('Monthly Trend'!G2:G13),'Monthly Trend'!G2:G13,0))</f>
        <v/>
      </c>
    </row>
    <row r="19">
      <c r="A19" s="11" t="inlineStr">
        <is>
          <t>Green values link to other sheets; edit the data sheets and these update automatically.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Month</t>
        </is>
      </c>
      <c r="B1" s="4" t="inlineStr">
        <is>
          <t>Income (₹)</t>
        </is>
      </c>
      <c r="C1" s="4" t="inlineStr">
        <is>
          <t>Expenses (₹)</t>
        </is>
      </c>
      <c r="D1" s="4" t="inlineStr">
        <is>
          <t>Invested (₹)</t>
        </is>
      </c>
      <c r="E1" s="4" t="inlineStr">
        <is>
          <t>Borrowed (₹)</t>
        </is>
      </c>
      <c r="F1" s="4" t="inlineStr">
        <is>
          <t>Net cash flow (₹)</t>
        </is>
      </c>
      <c r="G1" s="4" t="inlineStr">
        <is>
          <t>Savings rate</t>
        </is>
      </c>
      <c r="H1" s="4" t="inlineStr">
        <is>
          <t>Expense MoM change</t>
        </is>
      </c>
    </row>
    <row r="2">
      <c r="A2" s="12" t="inlineStr">
        <is>
          <t>2024-10</t>
        </is>
      </c>
      <c r="B2" s="13" t="n">
        <v>11956637</v>
      </c>
      <c r="C2" s="13" t="n">
        <v>10033552.71</v>
      </c>
      <c r="D2" s="13" t="n">
        <v>600300</v>
      </c>
      <c r="E2" s="13" t="n">
        <v>28000</v>
      </c>
      <c r="F2" s="14">
        <f>B2-C2</f>
        <v/>
      </c>
      <c r="G2" s="15">
        <f>IFERROR(F2/B2,0)</f>
        <v/>
      </c>
      <c r="H2" s="15" t="inlineStr"/>
    </row>
    <row r="3">
      <c r="A3" s="12" t="inlineStr">
        <is>
          <t>2024-11</t>
        </is>
      </c>
      <c r="B3" s="13" t="n">
        <v>11432556</v>
      </c>
      <c r="C3" s="13" t="n">
        <v>9656102.99</v>
      </c>
      <c r="D3" s="13" t="n">
        <v>600300</v>
      </c>
      <c r="E3" s="13" t="n">
        <v>48000</v>
      </c>
      <c r="F3" s="14">
        <f>B3-C3</f>
        <v/>
      </c>
      <c r="G3" s="15">
        <f>IFERROR(F3/B3,0)</f>
        <v/>
      </c>
      <c r="H3" s="15">
        <f>IFERROR(C3/C2-1,0)</f>
        <v/>
      </c>
    </row>
    <row r="4">
      <c r="A4" s="12" t="inlineStr">
        <is>
          <t>2024-12</t>
        </is>
      </c>
      <c r="B4" s="13" t="n">
        <v>10632685.82</v>
      </c>
      <c r="C4" s="13" t="n">
        <v>9314252.41</v>
      </c>
      <c r="D4" s="13" t="n">
        <v>600300</v>
      </c>
      <c r="E4" s="13" t="n">
        <v>165000</v>
      </c>
      <c r="F4" s="14">
        <f>B4-C4</f>
        <v/>
      </c>
      <c r="G4" s="15">
        <f>IFERROR(F4/B4,0)</f>
        <v/>
      </c>
      <c r="H4" s="15">
        <f>IFERROR(C4/C3-1,0)</f>
        <v/>
      </c>
    </row>
    <row r="5">
      <c r="A5" s="12" t="inlineStr">
        <is>
          <t>2025-01</t>
        </is>
      </c>
      <c r="B5" s="13" t="n">
        <v>10253603</v>
      </c>
      <c r="C5" s="13" t="n">
        <v>7793887.79</v>
      </c>
      <c r="D5" s="13" t="n">
        <v>600300</v>
      </c>
      <c r="E5" s="13" t="n">
        <v>142000</v>
      </c>
      <c r="F5" s="14">
        <f>B5-C5</f>
        <v/>
      </c>
      <c r="G5" s="15">
        <f>IFERROR(F5/B5,0)</f>
        <v/>
      </c>
      <c r="H5" s="15">
        <f>IFERROR(C5/C4-1,0)</f>
        <v/>
      </c>
    </row>
    <row r="6">
      <c r="A6" s="12" t="inlineStr">
        <is>
          <t>2025-02</t>
        </is>
      </c>
      <c r="B6" s="13" t="n">
        <v>10437639</v>
      </c>
      <c r="C6" s="13" t="n">
        <v>7585065.94</v>
      </c>
      <c r="D6" s="13" t="n">
        <v>600300</v>
      </c>
      <c r="E6" s="13" t="n">
        <v>46000</v>
      </c>
      <c r="F6" s="14">
        <f>B6-C6</f>
        <v/>
      </c>
      <c r="G6" s="15">
        <f>IFERROR(F6/B6,0)</f>
        <v/>
      </c>
      <c r="H6" s="15">
        <f>IFERROR(C6/C5-1,0)</f>
        <v/>
      </c>
    </row>
    <row r="7">
      <c r="A7" s="12" t="inlineStr">
        <is>
          <t>2025-03</t>
        </is>
      </c>
      <c r="B7" s="13" t="n">
        <v>10532693.57</v>
      </c>
      <c r="C7" s="13" t="n">
        <v>8546224.41</v>
      </c>
      <c r="D7" s="13" t="n">
        <v>600300</v>
      </c>
      <c r="E7" s="13" t="n">
        <v>35000</v>
      </c>
      <c r="F7" s="14">
        <f>B7-C7</f>
        <v/>
      </c>
      <c r="G7" s="15">
        <f>IFERROR(F7/B7,0)</f>
        <v/>
      </c>
      <c r="H7" s="15">
        <f>IFERROR(C7/C6-1,0)</f>
        <v/>
      </c>
    </row>
    <row r="8">
      <c r="A8" s="12" t="inlineStr">
        <is>
          <t>2025-04</t>
        </is>
      </c>
      <c r="B8" s="13" t="n">
        <v>11250085</v>
      </c>
      <c r="C8" s="13" t="n">
        <v>9629891.439999999</v>
      </c>
      <c r="D8" s="13" t="n">
        <v>600300</v>
      </c>
      <c r="E8" s="13" t="n">
        <v>91000</v>
      </c>
      <c r="F8" s="14">
        <f>B8-C8</f>
        <v/>
      </c>
      <c r="G8" s="15">
        <f>IFERROR(F8/B8,0)</f>
        <v/>
      </c>
      <c r="H8" s="15">
        <f>IFERROR(C8/C7-1,0)</f>
        <v/>
      </c>
    </row>
    <row r="9">
      <c r="A9" s="12" t="inlineStr">
        <is>
          <t>2025-05</t>
        </is>
      </c>
      <c r="B9" s="13" t="n">
        <v>10948844</v>
      </c>
      <c r="C9" s="13" t="n">
        <v>9196688.6</v>
      </c>
      <c r="D9" s="13" t="n">
        <v>595000</v>
      </c>
      <c r="E9" s="13" t="n">
        <v>97000</v>
      </c>
      <c r="F9" s="14">
        <f>B9-C9</f>
        <v/>
      </c>
      <c r="G9" s="15">
        <f>IFERROR(F9/B9,0)</f>
        <v/>
      </c>
      <c r="H9" s="15">
        <f>IFERROR(C9/C8-1,0)</f>
        <v/>
      </c>
    </row>
    <row r="10">
      <c r="A10" s="12" t="inlineStr">
        <is>
          <t>2025-06</t>
        </is>
      </c>
      <c r="B10" s="13" t="n">
        <v>11685609.68</v>
      </c>
      <c r="C10" s="13" t="n">
        <v>10050623.17</v>
      </c>
      <c r="D10" s="13" t="n">
        <v>595000</v>
      </c>
      <c r="E10" s="13" t="n">
        <v>172000</v>
      </c>
      <c r="F10" s="14">
        <f>B10-C10</f>
        <v/>
      </c>
      <c r="G10" s="15">
        <f>IFERROR(F10/B10,0)</f>
        <v/>
      </c>
      <c r="H10" s="15">
        <f>IFERROR(C10/C9-1,0)</f>
        <v/>
      </c>
    </row>
    <row r="11">
      <c r="A11" s="12" t="inlineStr">
        <is>
          <t>2025-07</t>
        </is>
      </c>
      <c r="B11" s="13" t="n">
        <v>10497752</v>
      </c>
      <c r="C11" s="13" t="n">
        <v>8154426.12</v>
      </c>
      <c r="D11" s="13" t="n">
        <v>586000</v>
      </c>
      <c r="E11" s="13" t="n">
        <v>70000</v>
      </c>
      <c r="F11" s="14">
        <f>B11-C11</f>
        <v/>
      </c>
      <c r="G11" s="15">
        <f>IFERROR(F11/B11,0)</f>
        <v/>
      </c>
      <c r="H11" s="15">
        <f>IFERROR(C11/C10-1,0)</f>
        <v/>
      </c>
    </row>
    <row r="12">
      <c r="A12" s="12" t="inlineStr">
        <is>
          <t>2025-08</t>
        </is>
      </c>
      <c r="B12" s="13" t="n">
        <v>11012118</v>
      </c>
      <c r="C12" s="13" t="n">
        <v>8493857.449999999</v>
      </c>
      <c r="D12" s="13" t="n">
        <v>591300</v>
      </c>
      <c r="E12" s="13" t="n">
        <v>39000</v>
      </c>
      <c r="F12" s="14">
        <f>B12-C12</f>
        <v/>
      </c>
      <c r="G12" s="15">
        <f>IFERROR(F12/B12,0)</f>
        <v/>
      </c>
      <c r="H12" s="15">
        <f>IFERROR(C12/C11-1,0)</f>
        <v/>
      </c>
    </row>
    <row r="13">
      <c r="A13" s="12" t="inlineStr">
        <is>
          <t>2025-09</t>
        </is>
      </c>
      <c r="B13" s="13" t="n">
        <v>11169299.82</v>
      </c>
      <c r="C13" s="13" t="n">
        <v>8249819.91</v>
      </c>
      <c r="D13" s="13" t="n">
        <v>600300</v>
      </c>
      <c r="E13" s="13" t="n">
        <v>67000</v>
      </c>
      <c r="F13" s="14">
        <f>B13-C13</f>
        <v/>
      </c>
      <c r="G13" s="15">
        <f>IFERROR(F13/B13,0)</f>
        <v/>
      </c>
      <c r="H13" s="15">
        <f>IFERROR(C13/C12-1,0)</f>
        <v/>
      </c>
    </row>
    <row r="14">
      <c r="A14" s="16" t="inlineStr">
        <is>
          <t>Total / overall</t>
        </is>
      </c>
      <c r="B14" s="17">
        <f>SUM(B2:B13)</f>
        <v/>
      </c>
      <c r="C14" s="17">
        <f>SUM(C2:C13)</f>
        <v/>
      </c>
      <c r="D14" s="17">
        <f>SUM(D2:D13)</f>
        <v/>
      </c>
      <c r="E14" s="17">
        <f>SUM(E2:E13)</f>
        <v/>
      </c>
      <c r="F14" s="17">
        <f>SUM(F2:F13)</f>
        <v/>
      </c>
      <c r="G14" s="18">
        <f>IFERROR(F14/B14,0)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14" customWidth="1" min="5" max="5"/>
  </cols>
  <sheetData>
    <row r="1">
      <c r="A1" s="4" t="inlineStr">
        <is>
          <t>Category</t>
        </is>
      </c>
      <c r="B1" s="4" t="inlineStr">
        <is>
          <t>Spend type</t>
        </is>
      </c>
      <c r="C1" s="4" t="inlineStr">
        <is>
          <t>12-month spend (₹)</t>
        </is>
      </c>
      <c r="D1" s="4" t="inlineStr">
        <is>
          <t>Share of spend</t>
        </is>
      </c>
      <c r="E1" s="4" t="inlineStr">
        <is>
          <t>Rank</t>
        </is>
      </c>
    </row>
    <row r="2">
      <c r="A2" s="5" t="inlineStr">
        <is>
          <t>Groceries</t>
        </is>
      </c>
      <c r="B2" s="5" t="inlineStr">
        <is>
          <t>Essential Variable</t>
        </is>
      </c>
      <c r="C2" s="13" t="n">
        <v>23887708.32</v>
      </c>
      <c r="D2" s="15">
        <f>C2/SUM($C$2:$C$19)</f>
        <v/>
      </c>
      <c r="E2" s="5">
        <f>RANK(C2,$C$2:$C$19)</f>
        <v/>
      </c>
    </row>
    <row r="3">
      <c r="A3" s="5" t="inlineStr">
        <is>
          <t>Housing</t>
        </is>
      </c>
      <c r="B3" s="5" t="inlineStr">
        <is>
          <t>Fixed Obligation</t>
        </is>
      </c>
      <c r="C3" s="13" t="n">
        <v>16124400</v>
      </c>
      <c r="D3" s="15">
        <f>C3/SUM($C$2:$C$19)</f>
        <v/>
      </c>
      <c r="E3" s="5">
        <f>RANK(C3,$C$2:$C$19)</f>
        <v/>
      </c>
    </row>
    <row r="4">
      <c r="A4" s="5" t="inlineStr">
        <is>
          <t>Loan EMI</t>
        </is>
      </c>
      <c r="B4" s="5" t="inlineStr">
        <is>
          <t>Fixed Obligation</t>
        </is>
      </c>
      <c r="C4" s="13" t="n">
        <v>12378144</v>
      </c>
      <c r="D4" s="15">
        <f>C4/SUM($C$2:$C$19)</f>
        <v/>
      </c>
      <c r="E4" s="5">
        <f>RANK(C4,$C$2:$C$19)</f>
        <v/>
      </c>
    </row>
    <row r="5">
      <c r="A5" s="5" t="inlineStr">
        <is>
          <t>Shopping</t>
        </is>
      </c>
      <c r="B5" s="5" t="inlineStr">
        <is>
          <t>Discretionary</t>
        </is>
      </c>
      <c r="C5" s="13" t="n">
        <v>10361357.7</v>
      </c>
      <c r="D5" s="15">
        <f>C5/SUM($C$2:$C$19)</f>
        <v/>
      </c>
      <c r="E5" s="5">
        <f>RANK(C5,$C$2:$C$19)</f>
        <v/>
      </c>
    </row>
    <row r="6">
      <c r="A6" s="5" t="inlineStr">
        <is>
          <t>Transport</t>
        </is>
      </c>
      <c r="B6" s="5" t="inlineStr">
        <is>
          <t>Essential Variable</t>
        </is>
      </c>
      <c r="C6" s="13" t="n">
        <v>9048118.689999999</v>
      </c>
      <c r="D6" s="15">
        <f>C6/SUM($C$2:$C$19)</f>
        <v/>
      </c>
      <c r="E6" s="5">
        <f>RANK(C6,$C$2:$C$19)</f>
        <v/>
      </c>
    </row>
    <row r="7">
      <c r="A7" s="5" t="inlineStr">
        <is>
          <t>Food Delivery</t>
        </is>
      </c>
      <c r="B7" s="5" t="inlineStr">
        <is>
          <t>Discretionary</t>
        </is>
      </c>
      <c r="C7" s="13" t="n">
        <v>7068455.99</v>
      </c>
      <c r="D7" s="15">
        <f>C7/SUM($C$2:$C$19)</f>
        <v/>
      </c>
      <c r="E7" s="5">
        <f>RANK(C7,$C$2:$C$19)</f>
        <v/>
      </c>
    </row>
    <row r="8">
      <c r="A8" s="5" t="inlineStr">
        <is>
          <t>Education</t>
        </is>
      </c>
      <c r="B8" s="5" t="inlineStr">
        <is>
          <t>Essential Variable</t>
        </is>
      </c>
      <c r="C8" s="13" t="n">
        <v>4942398.38</v>
      </c>
      <c r="D8" s="15">
        <f>C8/SUM($C$2:$C$19)</f>
        <v/>
      </c>
      <c r="E8" s="5">
        <f>RANK(C8,$C$2:$C$19)</f>
        <v/>
      </c>
    </row>
    <row r="9">
      <c r="A9" s="5" t="inlineStr">
        <is>
          <t>Utilities</t>
        </is>
      </c>
      <c r="B9" s="5" t="inlineStr">
        <is>
          <t>Essential Variable</t>
        </is>
      </c>
      <c r="C9" s="13" t="n">
        <v>4545176.7</v>
      </c>
      <c r="D9" s="15">
        <f>C9/SUM($C$2:$C$19)</f>
        <v/>
      </c>
      <c r="E9" s="5">
        <f>RANK(C9,$C$2:$C$19)</f>
        <v/>
      </c>
    </row>
    <row r="10">
      <c r="A10" s="5" t="inlineStr">
        <is>
          <t>Dining Out</t>
        </is>
      </c>
      <c r="B10" s="5" t="inlineStr">
        <is>
          <t>Discretionary</t>
        </is>
      </c>
      <c r="C10" s="13" t="n">
        <v>3421071.64</v>
      </c>
      <c r="D10" s="15">
        <f>C10/SUM($C$2:$C$19)</f>
        <v/>
      </c>
      <c r="E10" s="5">
        <f>RANK(C10,$C$2:$C$19)</f>
        <v/>
      </c>
    </row>
    <row r="11">
      <c r="A11" s="5" t="inlineStr">
        <is>
          <t>Healthcare</t>
        </is>
      </c>
      <c r="B11" s="5" t="inlineStr">
        <is>
          <t>Essential Variable</t>
        </is>
      </c>
      <c r="C11" s="13" t="n">
        <v>2629935.61</v>
      </c>
      <c r="D11" s="15">
        <f>C11/SUM($C$2:$C$19)</f>
        <v/>
      </c>
      <c r="E11" s="5">
        <f>RANK(C11,$C$2:$C$19)</f>
        <v/>
      </c>
    </row>
    <row r="12">
      <c r="A12" s="5" t="inlineStr">
        <is>
          <t>Travel</t>
        </is>
      </c>
      <c r="B12" s="5" t="inlineStr">
        <is>
          <t>Discretionary</t>
        </is>
      </c>
      <c r="C12" s="13" t="n">
        <v>2353141</v>
      </c>
      <c r="D12" s="15">
        <f>C12/SUM($C$2:$C$19)</f>
        <v/>
      </c>
      <c r="E12" s="5">
        <f>RANK(C12,$C$2:$C$19)</f>
        <v/>
      </c>
    </row>
    <row r="13">
      <c r="A13" s="5" t="inlineStr">
        <is>
          <t>Cash Withdrawal</t>
        </is>
      </c>
      <c r="B13" s="5" t="inlineStr">
        <is>
          <t>Discretionary</t>
        </is>
      </c>
      <c r="C13" s="13" t="n">
        <v>2109300</v>
      </c>
      <c r="D13" s="15">
        <f>C13/SUM($C$2:$C$19)</f>
        <v/>
      </c>
      <c r="E13" s="5">
        <f>RANK(C13,$C$2:$C$19)</f>
        <v/>
      </c>
    </row>
    <row r="14">
      <c r="A14" s="5" t="inlineStr">
        <is>
          <t>Personal Care</t>
        </is>
      </c>
      <c r="B14" s="5" t="inlineStr">
        <is>
          <t>Discretionary</t>
        </is>
      </c>
      <c r="C14" s="13" t="n">
        <v>1837715.61</v>
      </c>
      <c r="D14" s="15">
        <f>C14/SUM($C$2:$C$19)</f>
        <v/>
      </c>
      <c r="E14" s="5">
        <f>RANK(C14,$C$2:$C$19)</f>
        <v/>
      </c>
    </row>
    <row r="15">
      <c r="A15" s="5" t="inlineStr">
        <is>
          <t>Entertainment</t>
        </is>
      </c>
      <c r="B15" s="5" t="inlineStr">
        <is>
          <t>Discretionary</t>
        </is>
      </c>
      <c r="C15" s="13" t="n">
        <v>1685376.98</v>
      </c>
      <c r="D15" s="15">
        <f>C15/SUM($C$2:$C$19)</f>
        <v/>
      </c>
      <c r="E15" s="5">
        <f>RANK(C15,$C$2:$C$19)</f>
        <v/>
      </c>
    </row>
    <row r="16">
      <c r="A16" s="5" t="inlineStr">
        <is>
          <t>Insurance</t>
        </is>
      </c>
      <c r="B16" s="5" t="inlineStr">
        <is>
          <t>Fixed Obligation</t>
        </is>
      </c>
      <c r="C16" s="13" t="n">
        <v>1431600</v>
      </c>
      <c r="D16" s="15">
        <f>C16/SUM($C$2:$C$19)</f>
        <v/>
      </c>
      <c r="E16" s="5">
        <f>RANK(C16,$C$2:$C$19)</f>
        <v/>
      </c>
    </row>
    <row r="17">
      <c r="A17" s="5" t="inlineStr">
        <is>
          <t>Gifts &amp; Festivals</t>
        </is>
      </c>
      <c r="B17" s="5" t="inlineStr">
        <is>
          <t>Discretionary</t>
        </is>
      </c>
      <c r="C17" s="13" t="n">
        <v>1361580.32</v>
      </c>
      <c r="D17" s="15">
        <f>C17/SUM($C$2:$C$19)</f>
        <v/>
      </c>
      <c r="E17" s="5">
        <f>RANK(C17,$C$2:$C$19)</f>
        <v/>
      </c>
    </row>
    <row r="18">
      <c r="A18" s="5" t="inlineStr">
        <is>
          <t>Subscriptions</t>
        </is>
      </c>
      <c r="B18" s="5" t="inlineStr">
        <is>
          <t>Discretionary</t>
        </is>
      </c>
      <c r="C18" s="13" t="n">
        <v>820572</v>
      </c>
      <c r="D18" s="15">
        <f>C18/SUM($C$2:$C$19)</f>
        <v/>
      </c>
      <c r="E18" s="5">
        <f>RANK(C18,$C$2:$C$19)</f>
        <v/>
      </c>
    </row>
    <row r="19">
      <c r="A19" s="5" t="inlineStr">
        <is>
          <t>Debt Repayment</t>
        </is>
      </c>
      <c r="B19" s="5" t="inlineStr">
        <is>
          <t>Fixed Obligation</t>
        </is>
      </c>
      <c r="C19" s="13" t="n">
        <v>698340</v>
      </c>
      <c r="D19" s="15">
        <f>C19/SUM($C$2:$C$19)</f>
        <v/>
      </c>
      <c r="E19" s="5">
        <f>RANK(C19,$C$2:$C$19)</f>
        <v/>
      </c>
    </row>
    <row r="20">
      <c r="A20" s="16" t="inlineStr">
        <is>
          <t>Total</t>
        </is>
      </c>
      <c r="B20" s="16" t="n"/>
      <c r="C20" s="17">
        <f>SUM(C2:C19)</f>
        <v/>
      </c>
      <c r="D20" s="18">
        <f>SUM(D2:D19)</f>
        <v/>
      </c>
    </row>
  </sheetData>
  <conditionalFormatting sqref="D2:D19">
    <cfRule type="colorScale" priority="1">
      <colorScale>
        <cfvo type="min"/>
        <cfvo type="max"/>
        <color rgb="00FFFFFF"/>
        <color rgb="006DA7E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4" t="inlineStr">
        <is>
          <t>Customer</t>
        </is>
      </c>
      <c r="B1" s="4" t="inlineStr">
        <is>
          <t>Occupation</t>
        </is>
      </c>
      <c r="C1" s="4" t="inlineStr">
        <is>
          <t>City</t>
        </is>
      </c>
      <c r="D1" s="4" t="inlineStr">
        <is>
          <t>City tier</t>
        </is>
      </c>
      <c r="E1" s="4" t="inlineStr">
        <is>
          <t>Monthly income (₹)</t>
        </is>
      </c>
      <c r="F1" s="4" t="inlineStr">
        <is>
          <t>Active loan</t>
        </is>
      </c>
      <c r="G1" s="4" t="inlineStr">
        <is>
          <t>Stress score</t>
        </is>
      </c>
      <c r="H1" s="4" t="inlineStr">
        <is>
          <t>Stress band</t>
        </is>
      </c>
      <c r="I1" s="4" t="inlineStr">
        <is>
          <t>Top driver</t>
        </is>
      </c>
      <c r="J1" s="4" t="inlineStr">
        <is>
          <t>Savings rate (6m)</t>
        </is>
      </c>
      <c r="K1" s="4" t="inlineStr">
        <is>
          <t>Obligation ratio (6m)</t>
        </is>
      </c>
      <c r="L1" s="4" t="inlineStr">
        <is>
          <t>Buffer (months)</t>
        </is>
      </c>
      <c r="M1" s="4" t="inlineStr">
        <is>
          <t>Income CV</t>
        </is>
      </c>
      <c r="N1" s="4" t="inlineStr">
        <is>
          <t>Current balance (₹)</t>
        </is>
      </c>
      <c r="O1" s="4" t="inlineStr">
        <is>
          <t>Expected end balance (₹)</t>
        </is>
      </c>
      <c r="P1" s="4" t="inlineStr">
        <is>
          <t>P(deficit)</t>
        </is>
      </c>
      <c r="Q1" s="4" t="inlineStr">
        <is>
          <t>Forecast tier</t>
        </is>
      </c>
    </row>
    <row r="2">
      <c r="A2" s="12" t="inlineStr">
        <is>
          <t>C0085</t>
        </is>
      </c>
      <c r="B2" s="12" t="inlineStr">
        <is>
          <t>Salaried</t>
        </is>
      </c>
      <c r="C2" s="12" t="inlineStr">
        <is>
          <t>Hyderabad</t>
        </is>
      </c>
      <c r="D2" s="12" t="inlineStr">
        <is>
          <t>Tier 1</t>
        </is>
      </c>
      <c r="E2" s="13" t="n">
        <v>49100</v>
      </c>
      <c r="F2" s="12" t="b">
        <v>1</v>
      </c>
      <c r="G2" s="19" t="n">
        <v>82.5</v>
      </c>
      <c r="H2" s="12" t="inlineStr">
        <is>
          <t>Critical</t>
        </is>
      </c>
      <c r="I2" s="12" t="inlineStr">
        <is>
          <t>Savings margin</t>
        </is>
      </c>
      <c r="J2" s="20" t="n">
        <v>-0.3220801937353014</v>
      </c>
      <c r="K2" s="20" t="n">
        <v>0.8947173962857369</v>
      </c>
      <c r="L2" s="19" t="n">
        <v>0.1747643282532401</v>
      </c>
      <c r="M2" s="21" t="n">
        <v>0.1091800109764554</v>
      </c>
      <c r="N2" s="13" t="n">
        <v>11097.79</v>
      </c>
      <c r="O2" s="13" t="n">
        <v>-2972.66</v>
      </c>
      <c r="P2" s="20" t="n">
        <v>0.9664</v>
      </c>
      <c r="Q2" s="12" t="inlineStr">
        <is>
          <t>High</t>
        </is>
      </c>
    </row>
    <row r="3">
      <c r="A3" s="12" t="inlineStr">
        <is>
          <t>C0019</t>
        </is>
      </c>
      <c r="B3" s="12" t="inlineStr">
        <is>
          <t>Freelancer/Gig</t>
        </is>
      </c>
      <c r="C3" s="12" t="inlineStr">
        <is>
          <t>Patna</t>
        </is>
      </c>
      <c r="D3" s="12" t="inlineStr">
        <is>
          <t>Tier 3</t>
        </is>
      </c>
      <c r="E3" s="13" t="n">
        <v>82600</v>
      </c>
      <c r="F3" s="12" t="b">
        <v>0</v>
      </c>
      <c r="G3" s="19" t="n">
        <v>77.5</v>
      </c>
      <c r="H3" s="12" t="inlineStr">
        <is>
          <t>High</t>
        </is>
      </c>
      <c r="I3" s="12" t="inlineStr">
        <is>
          <t>Savings margin</t>
        </is>
      </c>
      <c r="J3" s="20" t="n">
        <v>-0.3944388965936012</v>
      </c>
      <c r="K3" s="20" t="n">
        <v>0.3275104940930157</v>
      </c>
      <c r="L3" s="19" t="n">
        <v>0.2153152840380762</v>
      </c>
      <c r="M3" s="21" t="n">
        <v>0.384918832254707</v>
      </c>
      <c r="N3" s="13" t="n">
        <v>14316.01</v>
      </c>
      <c r="O3" s="13" t="n">
        <v>-13221.98</v>
      </c>
      <c r="P3" s="20" t="n">
        <v>0.9544</v>
      </c>
      <c r="Q3" s="12" t="inlineStr">
        <is>
          <t>High</t>
        </is>
      </c>
    </row>
    <row r="4">
      <c r="A4" s="12" t="inlineStr">
        <is>
          <t>C0076</t>
        </is>
      </c>
      <c r="B4" s="12" t="inlineStr">
        <is>
          <t>Salaried</t>
        </is>
      </c>
      <c r="C4" s="12" t="inlineStr">
        <is>
          <t>Indore</t>
        </is>
      </c>
      <c r="D4" s="12" t="inlineStr">
        <is>
          <t>Tier 2</t>
        </is>
      </c>
      <c r="E4" s="13" t="n">
        <v>70600</v>
      </c>
      <c r="F4" s="12" t="b">
        <v>1</v>
      </c>
      <c r="G4" s="19" t="n">
        <v>74.5</v>
      </c>
      <c r="H4" s="12" t="inlineStr">
        <is>
          <t>High</t>
        </is>
      </c>
      <c r="I4" s="12" t="inlineStr">
        <is>
          <t>Emergency buffer</t>
        </is>
      </c>
      <c r="J4" s="20" t="n">
        <v>-0.0806140395971016</v>
      </c>
      <c r="K4" s="20" t="n">
        <v>0.5317250311844652</v>
      </c>
      <c r="L4" s="19" t="n">
        <v>0.3515025189289231</v>
      </c>
      <c r="M4" s="21" t="n">
        <v>0.0339944003573997</v>
      </c>
      <c r="N4" s="13" t="n">
        <v>26393.9</v>
      </c>
      <c r="O4" s="13" t="n">
        <v>24389.29</v>
      </c>
      <c r="P4" s="20" t="n">
        <v>0.3688</v>
      </c>
      <c r="Q4" s="12" t="inlineStr">
        <is>
          <t>Medium</t>
        </is>
      </c>
    </row>
    <row r="5">
      <c r="A5" s="12" t="inlineStr">
        <is>
          <t>C0091</t>
        </is>
      </c>
      <c r="B5" s="12" t="inlineStr">
        <is>
          <t>Salaried</t>
        </is>
      </c>
      <c r="C5" s="12" t="inlineStr">
        <is>
          <t>Ahmedabad</t>
        </is>
      </c>
      <c r="D5" s="12" t="inlineStr">
        <is>
          <t>Tier 1</t>
        </is>
      </c>
      <c r="E5" s="13" t="n">
        <v>106800</v>
      </c>
      <c r="F5" s="12" t="b">
        <v>1</v>
      </c>
      <c r="G5" s="19" t="n">
        <v>74.3</v>
      </c>
      <c r="H5" s="12" t="inlineStr">
        <is>
          <t>High</t>
        </is>
      </c>
      <c r="I5" s="12" t="inlineStr">
        <is>
          <t>Fixed obligations</t>
        </is>
      </c>
      <c r="J5" s="20" t="n">
        <v>-0.0992407773002474</v>
      </c>
      <c r="K5" s="20" t="n">
        <v>0.6398202840414423</v>
      </c>
      <c r="L5" s="19" t="n">
        <v>0.8209890253040968</v>
      </c>
      <c r="M5" s="21" t="n">
        <v>0.1785401051391994</v>
      </c>
      <c r="N5" s="13" t="n">
        <v>95480.49000000001</v>
      </c>
      <c r="O5" s="13" t="n">
        <v>100831.47</v>
      </c>
      <c r="P5" s="20" t="n">
        <v>0.0101</v>
      </c>
      <c r="Q5" s="12" t="inlineStr">
        <is>
          <t>Low</t>
        </is>
      </c>
    </row>
    <row r="6">
      <c r="A6" s="12" t="inlineStr">
        <is>
          <t>C0059</t>
        </is>
      </c>
      <c r="B6" s="12" t="inlineStr">
        <is>
          <t>Freelancer/Gig</t>
        </is>
      </c>
      <c r="C6" s="12" t="inlineStr">
        <is>
          <t>Pune</t>
        </is>
      </c>
      <c r="D6" s="12" t="inlineStr">
        <is>
          <t>Tier 1</t>
        </is>
      </c>
      <c r="E6" s="13" t="n">
        <v>56600</v>
      </c>
      <c r="F6" s="12" t="b">
        <v>0</v>
      </c>
      <c r="G6" s="19" t="n">
        <v>73.8</v>
      </c>
      <c r="H6" s="12" t="inlineStr">
        <is>
          <t>High</t>
        </is>
      </c>
      <c r="I6" s="12" t="inlineStr">
        <is>
          <t>Savings margin</t>
        </is>
      </c>
      <c r="J6" s="20" t="n">
        <v>-0.4843081759220752</v>
      </c>
      <c r="K6" s="20" t="n">
        <v>0.3260008079391306</v>
      </c>
      <c r="L6" s="19" t="n">
        <v>2.450785940987826</v>
      </c>
      <c r="M6" s="21" t="n">
        <v>0.5578391105814151</v>
      </c>
      <c r="N6" s="13" t="n">
        <v>97654.47</v>
      </c>
      <c r="O6" s="13" t="n">
        <v>76775.77</v>
      </c>
      <c r="P6" s="20" t="n">
        <v>0</v>
      </c>
      <c r="Q6" s="12" t="inlineStr">
        <is>
          <t>Low</t>
        </is>
      </c>
    </row>
    <row r="7">
      <c r="A7" s="12" t="inlineStr">
        <is>
          <t>C0115</t>
        </is>
      </c>
      <c r="B7" s="12" t="inlineStr">
        <is>
          <t>Salaried</t>
        </is>
      </c>
      <c r="C7" s="12" t="inlineStr">
        <is>
          <t>Bengaluru</t>
        </is>
      </c>
      <c r="D7" s="12" t="inlineStr">
        <is>
          <t>Tier 1</t>
        </is>
      </c>
      <c r="E7" s="13" t="n">
        <v>48200</v>
      </c>
      <c r="F7" s="12" t="b">
        <v>1</v>
      </c>
      <c r="G7" s="19" t="n">
        <v>73.59999999999999</v>
      </c>
      <c r="H7" s="12" t="inlineStr">
        <is>
          <t>High</t>
        </is>
      </c>
      <c r="I7" s="12" t="inlineStr">
        <is>
          <t>Savings margin</t>
        </is>
      </c>
      <c r="J7" s="20" t="n">
        <v>-0.2681626574678056</v>
      </c>
      <c r="K7" s="20" t="n">
        <v>0.8208581970243306</v>
      </c>
      <c r="L7" s="19" t="n">
        <v>0.5695864474787343</v>
      </c>
      <c r="M7" s="21" t="n">
        <v>0.0980004674798608</v>
      </c>
      <c r="N7" s="13" t="n">
        <v>35089.3</v>
      </c>
      <c r="O7" s="13" t="n">
        <v>29868.69</v>
      </c>
      <c r="P7" s="20" t="n">
        <v>0.1612</v>
      </c>
      <c r="Q7" s="12" t="inlineStr">
        <is>
          <t>Low</t>
        </is>
      </c>
    </row>
    <row r="8">
      <c r="A8" s="12" t="inlineStr">
        <is>
          <t>C0022</t>
        </is>
      </c>
      <c r="B8" s="12" t="inlineStr">
        <is>
          <t>Salaried</t>
        </is>
      </c>
      <c r="C8" s="12" t="inlineStr">
        <is>
          <t>Ahmedabad</t>
        </is>
      </c>
      <c r="D8" s="12" t="inlineStr">
        <is>
          <t>Tier 1</t>
        </is>
      </c>
      <c r="E8" s="13" t="n">
        <v>50200</v>
      </c>
      <c r="F8" s="12" t="b">
        <v>1</v>
      </c>
      <c r="G8" s="19" t="n">
        <v>73.2</v>
      </c>
      <c r="H8" s="12" t="inlineStr">
        <is>
          <t>High</t>
        </is>
      </c>
      <c r="I8" s="12" t="inlineStr">
        <is>
          <t>Savings margin</t>
        </is>
      </c>
      <c r="J8" s="20" t="n">
        <v>-0.1152510133002768</v>
      </c>
      <c r="K8" s="20" t="n">
        <v>0.6469325695871858</v>
      </c>
      <c r="L8" s="19" t="n">
        <v>0.4425860024347063</v>
      </c>
      <c r="M8" s="21" t="n">
        <v>0.0247473555775766</v>
      </c>
      <c r="N8" s="13" t="n">
        <v>23904.95</v>
      </c>
      <c r="O8" s="13" t="n">
        <v>27121.96</v>
      </c>
      <c r="P8" s="20" t="n">
        <v>0.1592</v>
      </c>
      <c r="Q8" s="12" t="inlineStr">
        <is>
          <t>Low</t>
        </is>
      </c>
    </row>
    <row r="9">
      <c r="A9" s="12" t="inlineStr">
        <is>
          <t>C0011</t>
        </is>
      </c>
      <c r="B9" s="12" t="inlineStr">
        <is>
          <t>Salaried</t>
        </is>
      </c>
      <c r="C9" s="12" t="inlineStr">
        <is>
          <t>Indore</t>
        </is>
      </c>
      <c r="D9" s="12" t="inlineStr">
        <is>
          <t>Tier 2</t>
        </is>
      </c>
      <c r="E9" s="13" t="n">
        <v>99000</v>
      </c>
      <c r="F9" s="12" t="b">
        <v>1</v>
      </c>
      <c r="G9" s="19" t="n">
        <v>72.40000000000001</v>
      </c>
      <c r="H9" s="12" t="inlineStr">
        <is>
          <t>High</t>
        </is>
      </c>
      <c r="I9" s="12" t="inlineStr">
        <is>
          <t>Savings margin</t>
        </is>
      </c>
      <c r="J9" s="20" t="n">
        <v>-0.3262884061308178</v>
      </c>
      <c r="K9" s="20" t="n">
        <v>0.8940531632912557</v>
      </c>
      <c r="L9" s="19" t="n">
        <v>0.6680229275685565</v>
      </c>
      <c r="M9" s="21" t="n">
        <v>0.0382712357150617</v>
      </c>
      <c r="N9" s="13" t="n">
        <v>89616.83</v>
      </c>
      <c r="O9" s="13" t="n">
        <v>61342.35</v>
      </c>
      <c r="P9" s="20" t="n">
        <v>0.1612</v>
      </c>
      <c r="Q9" s="12" t="inlineStr">
        <is>
          <t>Low</t>
        </is>
      </c>
    </row>
    <row r="10">
      <c r="A10" s="12" t="inlineStr">
        <is>
          <t>C0103</t>
        </is>
      </c>
      <c r="B10" s="12" t="inlineStr">
        <is>
          <t>Salaried</t>
        </is>
      </c>
      <c r="C10" s="12" t="inlineStr">
        <is>
          <t>Bengaluru</t>
        </is>
      </c>
      <c r="D10" s="12" t="inlineStr">
        <is>
          <t>Tier 1</t>
        </is>
      </c>
      <c r="E10" s="13" t="n">
        <v>107500</v>
      </c>
      <c r="F10" s="12" t="b">
        <v>0</v>
      </c>
      <c r="G10" s="19" t="n">
        <v>69.40000000000001</v>
      </c>
      <c r="H10" s="12" t="inlineStr">
        <is>
          <t>High</t>
        </is>
      </c>
      <c r="I10" s="12" t="inlineStr">
        <is>
          <t>Savings margin</t>
        </is>
      </c>
      <c r="J10" s="20" t="n">
        <v>-0.1891535759806976</v>
      </c>
      <c r="K10" s="20" t="n">
        <v>0.3654612600253189</v>
      </c>
      <c r="L10" s="19" t="n">
        <v>3.566446288339548</v>
      </c>
      <c r="M10" s="21" t="n">
        <v>0.4870901988564659</v>
      </c>
      <c r="N10" s="13" t="n">
        <v>269831.18</v>
      </c>
      <c r="O10" s="13" t="n">
        <v>262960.72</v>
      </c>
      <c r="P10" s="20" t="n">
        <v>0</v>
      </c>
      <c r="Q10" s="12" t="inlineStr">
        <is>
          <t>Low</t>
        </is>
      </c>
    </row>
    <row r="11">
      <c r="A11" s="12" t="inlineStr">
        <is>
          <t>C0052</t>
        </is>
      </c>
      <c r="B11" s="12" t="inlineStr">
        <is>
          <t>Student</t>
        </is>
      </c>
      <c r="C11" s="12" t="inlineStr">
        <is>
          <t>Chennai</t>
        </is>
      </c>
      <c r="D11" s="12" t="inlineStr">
        <is>
          <t>Tier 1</t>
        </is>
      </c>
      <c r="E11" s="13" t="n">
        <v>16800</v>
      </c>
      <c r="F11" s="12" t="b">
        <v>0</v>
      </c>
      <c r="G11" s="19" t="n">
        <v>65.90000000000001</v>
      </c>
      <c r="H11" s="12" t="inlineStr">
        <is>
          <t>High</t>
        </is>
      </c>
      <c r="I11" s="12" t="inlineStr">
        <is>
          <t>Savings margin</t>
        </is>
      </c>
      <c r="J11" s="20" t="n">
        <v>-0.1736911171759658</v>
      </c>
      <c r="K11" s="20" t="n">
        <v>0.5090018347766312</v>
      </c>
      <c r="L11" s="19" t="n">
        <v>0.7478661197692659</v>
      </c>
      <c r="M11" s="21" t="n">
        <v>0.1735550762958584</v>
      </c>
      <c r="N11" s="13" t="n">
        <v>9459.25</v>
      </c>
      <c r="O11" s="13" t="n">
        <v>7602.65</v>
      </c>
      <c r="P11" s="20" t="n">
        <v>0.0907</v>
      </c>
      <c r="Q11" s="12" t="inlineStr">
        <is>
          <t>Low</t>
        </is>
      </c>
    </row>
    <row r="12">
      <c r="A12" s="12" t="inlineStr">
        <is>
          <t>C0112</t>
        </is>
      </c>
      <c r="B12" s="12" t="inlineStr">
        <is>
          <t>Salaried</t>
        </is>
      </c>
      <c r="C12" s="12" t="inlineStr">
        <is>
          <t>Indore</t>
        </is>
      </c>
      <c r="D12" s="12" t="inlineStr">
        <is>
          <t>Tier 2</t>
        </is>
      </c>
      <c r="E12" s="13" t="n">
        <v>63200</v>
      </c>
      <c r="F12" s="12" t="b">
        <v>0</v>
      </c>
      <c r="G12" s="19" t="n">
        <v>65.8</v>
      </c>
      <c r="H12" s="12" t="inlineStr">
        <is>
          <t>High</t>
        </is>
      </c>
      <c r="I12" s="12" t="inlineStr">
        <is>
          <t>Savings margin</t>
        </is>
      </c>
      <c r="J12" s="20" t="n">
        <v>-0.3808014225018281</v>
      </c>
      <c r="K12" s="20" t="n">
        <v>0.3450887077831437</v>
      </c>
      <c r="L12" s="19" t="n">
        <v>2.352362436769973</v>
      </c>
      <c r="M12" s="21" t="n">
        <v>0.5754376711627741</v>
      </c>
      <c r="N12" s="13" t="n">
        <v>72372.72</v>
      </c>
      <c r="O12" s="13" t="n">
        <v>44558.25</v>
      </c>
      <c r="P12" s="20" t="n">
        <v>0.1098</v>
      </c>
      <c r="Q12" s="12" t="inlineStr">
        <is>
          <t>Low</t>
        </is>
      </c>
    </row>
    <row r="13">
      <c r="A13" s="12" t="inlineStr">
        <is>
          <t>C0006</t>
        </is>
      </c>
      <c r="B13" s="12" t="inlineStr">
        <is>
          <t>Freelancer/Gig</t>
        </is>
      </c>
      <c r="C13" s="12" t="inlineStr">
        <is>
          <t>Bengaluru</t>
        </is>
      </c>
      <c r="D13" s="12" t="inlineStr">
        <is>
          <t>Tier 1</t>
        </is>
      </c>
      <c r="E13" s="13" t="n">
        <v>38700</v>
      </c>
      <c r="F13" s="12" t="b">
        <v>0</v>
      </c>
      <c r="G13" s="19" t="n">
        <v>62.4</v>
      </c>
      <c r="H13" s="12" t="inlineStr">
        <is>
          <t>High</t>
        </is>
      </c>
      <c r="I13" s="12" t="inlineStr">
        <is>
          <t>Savings margin</t>
        </is>
      </c>
      <c r="J13" s="20" t="n">
        <v>-0.0407052369973639</v>
      </c>
      <c r="K13" s="20" t="n">
        <v>0.0275680629629496</v>
      </c>
      <c r="L13" s="19" t="n">
        <v>2.213378523203695</v>
      </c>
      <c r="M13" s="21" t="n">
        <v>0.4829643894919979</v>
      </c>
      <c r="N13" s="13" t="n">
        <v>52606.19</v>
      </c>
      <c r="O13" s="13" t="n">
        <v>44209.31</v>
      </c>
      <c r="P13" s="20" t="n">
        <v>0.0057</v>
      </c>
      <c r="Q13" s="12" t="inlineStr">
        <is>
          <t>Low</t>
        </is>
      </c>
    </row>
    <row r="14">
      <c r="A14" s="12" t="inlineStr">
        <is>
          <t>C0012</t>
        </is>
      </c>
      <c r="B14" s="12" t="inlineStr">
        <is>
          <t>Freelancer/Gig</t>
        </is>
      </c>
      <c r="C14" s="12" t="inlineStr">
        <is>
          <t>Mumbai</t>
        </is>
      </c>
      <c r="D14" s="12" t="inlineStr">
        <is>
          <t>Tier 1</t>
        </is>
      </c>
      <c r="E14" s="13" t="n">
        <v>74200</v>
      </c>
      <c r="F14" s="12" t="b">
        <v>0</v>
      </c>
      <c r="G14" s="19" t="n">
        <v>60.7</v>
      </c>
      <c r="H14" s="12" t="inlineStr">
        <is>
          <t>High</t>
        </is>
      </c>
      <c r="I14" s="12" t="inlineStr">
        <is>
          <t>Savings margin</t>
        </is>
      </c>
      <c r="J14" s="20" t="n">
        <v>-0.165631355869121</v>
      </c>
      <c r="K14" s="20" t="n">
        <v>0.0279377122054543</v>
      </c>
      <c r="L14" s="19" t="n">
        <v>2.120079466053182</v>
      </c>
      <c r="M14" s="21" t="n">
        <v>0.4298621040211072</v>
      </c>
      <c r="N14" s="13" t="n">
        <v>75775.64</v>
      </c>
      <c r="O14" s="13" t="n">
        <v>44868.75</v>
      </c>
      <c r="P14" s="20" t="n">
        <v>0.1127</v>
      </c>
      <c r="Q14" s="12" t="inlineStr">
        <is>
          <t>Low</t>
        </is>
      </c>
    </row>
    <row r="15">
      <c r="A15" s="12" t="inlineStr">
        <is>
          <t>C0094</t>
        </is>
      </c>
      <c r="B15" s="12" t="inlineStr">
        <is>
          <t>Salaried</t>
        </is>
      </c>
      <c r="C15" s="12" t="inlineStr">
        <is>
          <t>Chennai</t>
        </is>
      </c>
      <c r="D15" s="12" t="inlineStr">
        <is>
          <t>Tier 1</t>
        </is>
      </c>
      <c r="E15" s="13" t="n">
        <v>63800</v>
      </c>
      <c r="F15" s="12" t="b">
        <v>1</v>
      </c>
      <c r="G15" s="19" t="n">
        <v>58.3</v>
      </c>
      <c r="H15" s="12" t="inlineStr">
        <is>
          <t>Moderate</t>
        </is>
      </c>
      <c r="I15" s="12" t="inlineStr">
        <is>
          <t>Fixed obligations</t>
        </is>
      </c>
      <c r="J15" s="20" t="n">
        <v>0.0162172576026534</v>
      </c>
      <c r="K15" s="20" t="n">
        <v>0.7119631445122235</v>
      </c>
      <c r="L15" s="19" t="n">
        <v>0.2226524761699179</v>
      </c>
      <c r="M15" s="21" t="n">
        <v>0.0242873219528807</v>
      </c>
      <c r="N15" s="13" t="n">
        <v>13085.81</v>
      </c>
      <c r="O15" s="13" t="n">
        <v>11591.53</v>
      </c>
      <c r="P15" s="20" t="n">
        <v>0.9505</v>
      </c>
      <c r="Q15" s="12" t="inlineStr">
        <is>
          <t>High</t>
        </is>
      </c>
    </row>
    <row r="16">
      <c r="A16" s="12" t="inlineStr">
        <is>
          <t>C0118</t>
        </is>
      </c>
      <c r="B16" s="12" t="inlineStr">
        <is>
          <t>Salaried</t>
        </is>
      </c>
      <c r="C16" s="12" t="inlineStr">
        <is>
          <t>Kolkata</t>
        </is>
      </c>
      <c r="D16" s="12" t="inlineStr">
        <is>
          <t>Tier 1</t>
        </is>
      </c>
      <c r="E16" s="13" t="n">
        <v>90500</v>
      </c>
      <c r="F16" s="12" t="b">
        <v>1</v>
      </c>
      <c r="G16" s="19" t="n">
        <v>58.3</v>
      </c>
      <c r="H16" s="12" t="inlineStr">
        <is>
          <t>Moderate</t>
        </is>
      </c>
      <c r="I16" s="12" t="inlineStr">
        <is>
          <t>Emergency buffer</t>
        </is>
      </c>
      <c r="J16" s="20" t="n">
        <v>-0.0035034752153653</v>
      </c>
      <c r="K16" s="20" t="n">
        <v>0.494152588440012</v>
      </c>
      <c r="L16" s="19" t="n">
        <v>0.969379367154066</v>
      </c>
      <c r="M16" s="21" t="n">
        <v>0.1014817867452901</v>
      </c>
      <c r="N16" s="13" t="n">
        <v>76304.44</v>
      </c>
      <c r="O16" s="13" t="n">
        <v>66843.98</v>
      </c>
      <c r="P16" s="20" t="n">
        <v>0</v>
      </c>
      <c r="Q16" s="12" t="inlineStr">
        <is>
          <t>Low</t>
        </is>
      </c>
    </row>
    <row r="17">
      <c r="A17" s="12" t="inlineStr">
        <is>
          <t>C0061</t>
        </is>
      </c>
      <c r="B17" s="12" t="inlineStr">
        <is>
          <t>Student</t>
        </is>
      </c>
      <c r="C17" s="12" t="inlineStr">
        <is>
          <t>Kolkata</t>
        </is>
      </c>
      <c r="D17" s="12" t="inlineStr">
        <is>
          <t>Tier 1</t>
        </is>
      </c>
      <c r="E17" s="13" t="n">
        <v>10400</v>
      </c>
      <c r="F17" s="12" t="b">
        <v>0</v>
      </c>
      <c r="G17" s="19" t="n">
        <v>57.3</v>
      </c>
      <c r="H17" s="12" t="inlineStr">
        <is>
          <t>Moderate</t>
        </is>
      </c>
      <c r="I17" s="12" t="inlineStr">
        <is>
          <t>Savings margin</t>
        </is>
      </c>
      <c r="J17" s="20" t="n">
        <v>-0.3833754995032435</v>
      </c>
      <c r="K17" s="20" t="n">
        <v>0.1787555465100427</v>
      </c>
      <c r="L17" s="19" t="n">
        <v>0.2819473910597889</v>
      </c>
      <c r="M17" s="21" t="n">
        <v>0.1707021680841864</v>
      </c>
      <c r="N17" s="13" t="n">
        <v>1775.27</v>
      </c>
      <c r="O17" s="13" t="n">
        <v>-4248.15</v>
      </c>
      <c r="P17" s="20" t="n">
        <v>1</v>
      </c>
      <c r="Q17" s="12" t="inlineStr">
        <is>
          <t>High</t>
        </is>
      </c>
    </row>
    <row r="18">
      <c r="A18" s="12" t="inlineStr">
        <is>
          <t>C0046</t>
        </is>
      </c>
      <c r="B18" s="12" t="inlineStr">
        <is>
          <t>Freelancer/Gig</t>
        </is>
      </c>
      <c r="C18" s="12" t="inlineStr">
        <is>
          <t>Coimbatore</t>
        </is>
      </c>
      <c r="D18" s="12" t="inlineStr">
        <is>
          <t>Tier 2</t>
        </is>
      </c>
      <c r="E18" s="13" t="n">
        <v>87000</v>
      </c>
      <c r="F18" s="12" t="b">
        <v>0</v>
      </c>
      <c r="G18" s="19" t="n">
        <v>56</v>
      </c>
      <c r="H18" s="12" t="inlineStr">
        <is>
          <t>Moderate</t>
        </is>
      </c>
      <c r="I18" s="12" t="inlineStr">
        <is>
          <t>Savings margin</t>
        </is>
      </c>
      <c r="J18" s="20" t="n">
        <v>-0.0944801975291473</v>
      </c>
      <c r="K18" s="20" t="n">
        <v>0.1782690000275385</v>
      </c>
      <c r="L18" s="19" t="n">
        <v>2.062775513818118</v>
      </c>
      <c r="M18" s="21" t="n">
        <v>0.3325823623134962</v>
      </c>
      <c r="N18" s="13" t="n">
        <v>107630.49</v>
      </c>
      <c r="O18" s="13" t="n">
        <v>85428.03999999999</v>
      </c>
      <c r="P18" s="20" t="n">
        <v>0</v>
      </c>
      <c r="Q18" s="12" t="inlineStr">
        <is>
          <t>Low</t>
        </is>
      </c>
    </row>
    <row r="19">
      <c r="A19" s="12" t="inlineStr">
        <is>
          <t>C0079</t>
        </is>
      </c>
      <c r="B19" s="12" t="inlineStr">
        <is>
          <t>Student</t>
        </is>
      </c>
      <c r="C19" s="12" t="inlineStr">
        <is>
          <t>Bengaluru</t>
        </is>
      </c>
      <c r="D19" s="12" t="inlineStr">
        <is>
          <t>Tier 1</t>
        </is>
      </c>
      <c r="E19" s="13" t="n">
        <v>13100</v>
      </c>
      <c r="F19" s="12" t="b">
        <v>0</v>
      </c>
      <c r="G19" s="19" t="n">
        <v>54.9</v>
      </c>
      <c r="H19" s="12" t="inlineStr">
        <is>
          <t>Moderate</t>
        </is>
      </c>
      <c r="I19" s="12" t="inlineStr">
        <is>
          <t>Savings margin</t>
        </is>
      </c>
      <c r="J19" s="20" t="n">
        <v>-0.09481021601309519</v>
      </c>
      <c r="K19" s="20" t="n">
        <v>0.345878350026209</v>
      </c>
      <c r="L19" s="19" t="n">
        <v>0.9924931200075698</v>
      </c>
      <c r="M19" s="21" t="n">
        <v>0.1855476303586418</v>
      </c>
      <c r="N19" s="13" t="n">
        <v>8810.549999999999</v>
      </c>
      <c r="O19" s="13" t="n">
        <v>5606.37</v>
      </c>
      <c r="P19" s="20" t="n">
        <v>0.2258</v>
      </c>
      <c r="Q19" s="12" t="inlineStr">
        <is>
          <t>Medium</t>
        </is>
      </c>
    </row>
    <row r="20">
      <c r="A20" s="12" t="inlineStr">
        <is>
          <t>C0058</t>
        </is>
      </c>
      <c r="B20" s="12" t="inlineStr">
        <is>
          <t>Salaried</t>
        </is>
      </c>
      <c r="C20" s="12" t="inlineStr">
        <is>
          <t>Coimbatore</t>
        </is>
      </c>
      <c r="D20" s="12" t="inlineStr">
        <is>
          <t>Tier 2</t>
        </is>
      </c>
      <c r="E20" s="13" t="n">
        <v>44400</v>
      </c>
      <c r="F20" s="12" t="b">
        <v>0</v>
      </c>
      <c r="G20" s="19" t="n">
        <v>54.6</v>
      </c>
      <c r="H20" s="12" t="inlineStr">
        <is>
          <t>Moderate</t>
        </is>
      </c>
      <c r="I20" s="12" t="inlineStr">
        <is>
          <t>Savings margin</t>
        </is>
      </c>
      <c r="J20" s="20" t="n">
        <v>-0.2873589912708513</v>
      </c>
      <c r="K20" s="20" t="n">
        <v>0.2080021235863624</v>
      </c>
      <c r="L20" s="19" t="n">
        <v>1.239805346443546</v>
      </c>
      <c r="M20" s="21" t="n">
        <v>0.2208900873500324</v>
      </c>
      <c r="N20" s="13" t="n">
        <v>63737.93</v>
      </c>
      <c r="O20" s="13" t="n">
        <v>66163.74000000001</v>
      </c>
      <c r="P20" s="20" t="n">
        <v>0.1684</v>
      </c>
      <c r="Q20" s="12" t="inlineStr">
        <is>
          <t>Low</t>
        </is>
      </c>
    </row>
    <row r="21">
      <c r="A21" s="12" t="inlineStr">
        <is>
          <t>C0097</t>
        </is>
      </c>
      <c r="B21" s="12" t="inlineStr">
        <is>
          <t>Student</t>
        </is>
      </c>
      <c r="C21" s="12" t="inlineStr">
        <is>
          <t>Mysuru</t>
        </is>
      </c>
      <c r="D21" s="12" t="inlineStr">
        <is>
          <t>Tier 3</t>
        </is>
      </c>
      <c r="E21" s="13" t="n">
        <v>16100</v>
      </c>
      <c r="F21" s="12" t="b">
        <v>0</v>
      </c>
      <c r="G21" s="19" t="n">
        <v>54.2</v>
      </c>
      <c r="H21" s="12" t="inlineStr">
        <is>
          <t>Moderate</t>
        </is>
      </c>
      <c r="I21" s="12" t="inlineStr">
        <is>
          <t>Savings margin</t>
        </is>
      </c>
      <c r="J21" s="20" t="n">
        <v>-0.0576731080703652</v>
      </c>
      <c r="K21" s="20" t="n">
        <v>0.4228584752799449</v>
      </c>
      <c r="L21" s="19" t="n">
        <v>1.633786120401507</v>
      </c>
      <c r="M21" s="21" t="n">
        <v>0.144562009794843</v>
      </c>
      <c r="N21" s="13" t="n">
        <v>18807.8</v>
      </c>
      <c r="O21" s="13" t="n">
        <v>17339.62</v>
      </c>
      <c r="P21" s="20" t="n">
        <v>0</v>
      </c>
      <c r="Q21" s="12" t="inlineStr">
        <is>
          <t>Low</t>
        </is>
      </c>
    </row>
    <row r="22">
      <c r="A22" s="12" t="inlineStr">
        <is>
          <t>C0021</t>
        </is>
      </c>
      <c r="B22" s="12" t="inlineStr">
        <is>
          <t>Student</t>
        </is>
      </c>
      <c r="C22" s="12" t="inlineStr">
        <is>
          <t>Mumbai</t>
        </is>
      </c>
      <c r="D22" s="12" t="inlineStr">
        <is>
          <t>Tier 1</t>
        </is>
      </c>
      <c r="E22" s="13" t="n">
        <v>12100</v>
      </c>
      <c r="F22" s="12" t="b">
        <v>0</v>
      </c>
      <c r="G22" s="19" t="n">
        <v>53.8</v>
      </c>
      <c r="H22" s="12" t="inlineStr">
        <is>
          <t>Moderate</t>
        </is>
      </c>
      <c r="I22" s="12" t="inlineStr">
        <is>
          <t>Savings margin</t>
        </is>
      </c>
      <c r="J22" s="20" t="n">
        <v>-0.1344072794851279</v>
      </c>
      <c r="K22" s="20" t="n">
        <v>0.1118672565922928</v>
      </c>
      <c r="L22" s="19" t="n">
        <v>0.6890151689551731</v>
      </c>
      <c r="M22" s="21" t="n">
        <v>0.1650993475712693</v>
      </c>
      <c r="N22" s="13" t="n">
        <v>5187.88</v>
      </c>
      <c r="O22" s="13" t="n">
        <v>1731.59</v>
      </c>
      <c r="P22" s="20" t="n">
        <v>0.8117</v>
      </c>
      <c r="Q22" s="12" t="inlineStr">
        <is>
          <t>High</t>
        </is>
      </c>
    </row>
    <row r="23">
      <c r="A23" s="12" t="inlineStr">
        <is>
          <t>C0090</t>
        </is>
      </c>
      <c r="B23" s="12" t="inlineStr">
        <is>
          <t>Salaried</t>
        </is>
      </c>
      <c r="C23" s="12" t="inlineStr">
        <is>
          <t>Chandigarh</t>
        </is>
      </c>
      <c r="D23" s="12" t="inlineStr">
        <is>
          <t>Tier 2</t>
        </is>
      </c>
      <c r="E23" s="13" t="n">
        <v>98100</v>
      </c>
      <c r="F23" s="12" t="b">
        <v>1</v>
      </c>
      <c r="G23" s="19" t="n">
        <v>53.6</v>
      </c>
      <c r="H23" s="12" t="inlineStr">
        <is>
          <t>Moderate</t>
        </is>
      </c>
      <c r="I23" s="12" t="inlineStr">
        <is>
          <t>Savings margin</t>
        </is>
      </c>
      <c r="J23" s="20" t="n">
        <v>-0.0694043898063004</v>
      </c>
      <c r="K23" s="20" t="n">
        <v>0.241151676628223</v>
      </c>
      <c r="L23" s="19" t="n">
        <v>3.806491764290823</v>
      </c>
      <c r="M23" s="21" t="n">
        <v>0.170967422184622</v>
      </c>
      <c r="N23" s="13" t="n">
        <v>286133.25</v>
      </c>
      <c r="O23" s="13" t="n">
        <v>256501.82</v>
      </c>
      <c r="P23" s="20" t="n">
        <v>0</v>
      </c>
      <c r="Q23" s="12" t="inlineStr">
        <is>
          <t>Low</t>
        </is>
      </c>
    </row>
    <row r="24">
      <c r="A24" s="12" t="inlineStr">
        <is>
          <t>C0028</t>
        </is>
      </c>
      <c r="B24" s="12" t="inlineStr">
        <is>
          <t>Student</t>
        </is>
      </c>
      <c r="C24" s="12" t="inlineStr">
        <is>
          <t>Nagpur</t>
        </is>
      </c>
      <c r="D24" s="12" t="inlineStr">
        <is>
          <t>Tier 2</t>
        </is>
      </c>
      <c r="E24" s="13" t="n">
        <v>14700</v>
      </c>
      <c r="F24" s="12" t="b">
        <v>0</v>
      </c>
      <c r="G24" s="19" t="n">
        <v>53.4</v>
      </c>
      <c r="H24" s="12" t="inlineStr">
        <is>
          <t>Moderate</t>
        </is>
      </c>
      <c r="I24" s="12" t="inlineStr">
        <is>
          <t>Savings margin</t>
        </is>
      </c>
      <c r="J24" s="20" t="n">
        <v>-0.1054092343911164</v>
      </c>
      <c r="K24" s="20" t="n">
        <v>0</v>
      </c>
      <c r="L24" s="19" t="n">
        <v>0.3847642542777635</v>
      </c>
      <c r="M24" s="21" t="n">
        <v>0.1130604648408891</v>
      </c>
      <c r="N24" s="13" t="n">
        <v>3249.27</v>
      </c>
      <c r="O24" s="13" t="n">
        <v>-1529.52</v>
      </c>
      <c r="P24" s="20" t="n">
        <v>1</v>
      </c>
      <c r="Q24" s="12" t="inlineStr">
        <is>
          <t>High</t>
        </is>
      </c>
    </row>
    <row r="25">
      <c r="A25" s="12" t="inlineStr">
        <is>
          <t>C0015</t>
        </is>
      </c>
      <c r="B25" s="12" t="inlineStr">
        <is>
          <t>Salaried</t>
        </is>
      </c>
      <c r="C25" s="12" t="inlineStr">
        <is>
          <t>Delhi</t>
        </is>
      </c>
      <c r="D25" s="12" t="inlineStr">
        <is>
          <t>Tier 1</t>
        </is>
      </c>
      <c r="E25" s="13" t="n">
        <v>96800</v>
      </c>
      <c r="F25" s="12" t="b">
        <v>1</v>
      </c>
      <c r="G25" s="19" t="n">
        <v>51.8</v>
      </c>
      <c r="H25" s="12" t="inlineStr">
        <is>
          <t>Moderate</t>
        </is>
      </c>
      <c r="I25" s="12" t="inlineStr">
        <is>
          <t>Fixed obligations</t>
        </is>
      </c>
      <c r="J25" s="20" t="n">
        <v>0.0351658328716161</v>
      </c>
      <c r="K25" s="20" t="n">
        <v>0.5758239725744028</v>
      </c>
      <c r="L25" s="19" t="n">
        <v>1.277381745064209</v>
      </c>
      <c r="M25" s="21" t="n">
        <v>0.0289498976963926</v>
      </c>
      <c r="N25" s="13" t="n">
        <v>103923.54</v>
      </c>
      <c r="O25" s="13" t="n">
        <v>99080.06</v>
      </c>
      <c r="P25" s="20" t="n">
        <v>0</v>
      </c>
      <c r="Q25" s="12" t="inlineStr">
        <is>
          <t>Low</t>
        </is>
      </c>
    </row>
    <row r="26">
      <c r="A26" s="12" t="inlineStr">
        <is>
          <t>C0037</t>
        </is>
      </c>
      <c r="B26" s="12" t="inlineStr">
        <is>
          <t>Salaried</t>
        </is>
      </c>
      <c r="C26" s="12" t="inlineStr">
        <is>
          <t>Kolkata</t>
        </is>
      </c>
      <c r="D26" s="12" t="inlineStr">
        <is>
          <t>Tier 1</t>
        </is>
      </c>
      <c r="E26" s="13" t="n">
        <v>98000</v>
      </c>
      <c r="F26" s="12" t="b">
        <v>0</v>
      </c>
      <c r="G26" s="19" t="n">
        <v>51.2</v>
      </c>
      <c r="H26" s="12" t="inlineStr">
        <is>
          <t>Moderate</t>
        </is>
      </c>
      <c r="I26" s="12" t="inlineStr">
        <is>
          <t>Savings margin</t>
        </is>
      </c>
      <c r="J26" s="20" t="n">
        <v>-0.023866863591014</v>
      </c>
      <c r="K26" s="20" t="n">
        <v>0.1855132229496676</v>
      </c>
      <c r="L26" s="19" t="n">
        <v>2.903687324656022</v>
      </c>
      <c r="M26" s="21" t="n">
        <v>0.0456073915265363</v>
      </c>
      <c r="N26" s="13" t="n">
        <v>238540.89</v>
      </c>
      <c r="O26" s="13" t="n">
        <v>213858.09</v>
      </c>
      <c r="P26" s="20" t="n">
        <v>0</v>
      </c>
      <c r="Q26" s="12" t="inlineStr">
        <is>
          <t>Low</t>
        </is>
      </c>
    </row>
    <row r="27">
      <c r="A27" s="12" t="inlineStr">
        <is>
          <t>C0034</t>
        </is>
      </c>
      <c r="B27" s="12" t="inlineStr">
        <is>
          <t>Salaried</t>
        </is>
      </c>
      <c r="C27" s="12" t="inlineStr">
        <is>
          <t>Lucknow</t>
        </is>
      </c>
      <c r="D27" s="12" t="inlineStr">
        <is>
          <t>Tier 2</t>
        </is>
      </c>
      <c r="E27" s="13" t="n">
        <v>40300</v>
      </c>
      <c r="F27" s="12" t="b">
        <v>1</v>
      </c>
      <c r="G27" s="19" t="n">
        <v>50.4</v>
      </c>
      <c r="H27" s="12" t="inlineStr">
        <is>
          <t>Moderate</t>
        </is>
      </c>
      <c r="I27" s="12" t="inlineStr">
        <is>
          <t>Fixed obligations</t>
        </is>
      </c>
      <c r="J27" s="20" t="n">
        <v>0.0717243400635372</v>
      </c>
      <c r="K27" s="20" t="n">
        <v>0.6126128113067697</v>
      </c>
      <c r="L27" s="19" t="n">
        <v>1.517659308577458</v>
      </c>
      <c r="M27" s="21" t="n">
        <v>0.1847585343483095</v>
      </c>
      <c r="N27" s="13" t="n">
        <v>52734.71</v>
      </c>
      <c r="O27" s="13" t="n">
        <v>54672.17</v>
      </c>
      <c r="P27" s="20" t="n">
        <v>0</v>
      </c>
      <c r="Q27" s="12" t="inlineStr">
        <is>
          <t>Low</t>
        </is>
      </c>
    </row>
    <row r="28">
      <c r="A28" s="12" t="inlineStr">
        <is>
          <t>C0070</t>
        </is>
      </c>
      <c r="B28" s="12" t="inlineStr">
        <is>
          <t>Salaried</t>
        </is>
      </c>
      <c r="C28" s="12" t="inlineStr">
        <is>
          <t>Mumbai</t>
        </is>
      </c>
      <c r="D28" s="12" t="inlineStr">
        <is>
          <t>Tier 1</t>
        </is>
      </c>
      <c r="E28" s="13" t="n">
        <v>147900</v>
      </c>
      <c r="F28" s="12" t="b">
        <v>0</v>
      </c>
      <c r="G28" s="19" t="n">
        <v>50</v>
      </c>
      <c r="H28" s="12" t="inlineStr">
        <is>
          <t>Moderate</t>
        </is>
      </c>
      <c r="I28" s="12" t="inlineStr">
        <is>
          <t>Savings margin</t>
        </is>
      </c>
      <c r="J28" s="20" t="n">
        <v>-0.0080359215051083</v>
      </c>
      <c r="K28" s="20" t="n">
        <v>0.1632348668708318</v>
      </c>
      <c r="L28" s="19" t="n">
        <v>3.030938060939596</v>
      </c>
      <c r="M28" s="21" t="n">
        <v>0.053532062859362</v>
      </c>
      <c r="N28" s="13" t="n">
        <v>355158.76</v>
      </c>
      <c r="O28" s="13" t="n">
        <v>317374.21</v>
      </c>
      <c r="P28" s="20" t="n">
        <v>0</v>
      </c>
      <c r="Q28" s="12" t="inlineStr">
        <is>
          <t>Low</t>
        </is>
      </c>
    </row>
    <row r="29">
      <c r="A29" s="12" t="inlineStr">
        <is>
          <t>C0108</t>
        </is>
      </c>
      <c r="B29" s="12" t="inlineStr">
        <is>
          <t>Salaried</t>
        </is>
      </c>
      <c r="C29" s="12" t="inlineStr">
        <is>
          <t>Bengaluru</t>
        </is>
      </c>
      <c r="D29" s="12" t="inlineStr">
        <is>
          <t>Tier 1</t>
        </is>
      </c>
      <c r="E29" s="13" t="n">
        <v>42200</v>
      </c>
      <c r="F29" s="12" t="b">
        <v>1</v>
      </c>
      <c r="G29" s="19" t="n">
        <v>49.9</v>
      </c>
      <c r="H29" s="12" t="inlineStr">
        <is>
          <t>Moderate</t>
        </is>
      </c>
      <c r="I29" s="12" t="inlineStr">
        <is>
          <t>Fixed obligations</t>
        </is>
      </c>
      <c r="J29" s="20" t="n">
        <v>0.06821522405701939</v>
      </c>
      <c r="K29" s="20" t="n">
        <v>0.6355428206367119</v>
      </c>
      <c r="L29" s="19" t="n">
        <v>1.273037183939468</v>
      </c>
      <c r="M29" s="21" t="n">
        <v>0.0342032354999214</v>
      </c>
      <c r="N29" s="13" t="n">
        <v>47418.35</v>
      </c>
      <c r="O29" s="13" t="n">
        <v>49110.6</v>
      </c>
      <c r="P29" s="20" t="n">
        <v>0</v>
      </c>
      <c r="Q29" s="12" t="inlineStr">
        <is>
          <t>Low</t>
        </is>
      </c>
    </row>
    <row r="30">
      <c r="A30" s="12" t="inlineStr">
        <is>
          <t>C0098</t>
        </is>
      </c>
      <c r="B30" s="12" t="inlineStr">
        <is>
          <t>Salaried</t>
        </is>
      </c>
      <c r="C30" s="12" t="inlineStr">
        <is>
          <t>Pune</t>
        </is>
      </c>
      <c r="D30" s="12" t="inlineStr">
        <is>
          <t>Tier 1</t>
        </is>
      </c>
      <c r="E30" s="13" t="n">
        <v>97300</v>
      </c>
      <c r="F30" s="12" t="b">
        <v>1</v>
      </c>
      <c r="G30" s="19" t="n">
        <v>48.4</v>
      </c>
      <c r="H30" s="12" t="inlineStr">
        <is>
          <t>Moderate</t>
        </is>
      </c>
      <c r="I30" s="12" t="inlineStr">
        <is>
          <t>Fixed obligations</t>
        </is>
      </c>
      <c r="J30" s="20" t="n">
        <v>0.0564542469802925</v>
      </c>
      <c r="K30" s="20" t="n">
        <v>0.7492008286841633</v>
      </c>
      <c r="L30" s="19" t="n">
        <v>1.118398823289132</v>
      </c>
      <c r="M30" s="21" t="n">
        <v>0.0248645038636405</v>
      </c>
      <c r="N30" s="13" t="n">
        <v>100602.69</v>
      </c>
      <c r="O30" s="13" t="n">
        <v>104219.95</v>
      </c>
      <c r="P30" s="20" t="n">
        <v>0</v>
      </c>
      <c r="Q30" s="12" t="inlineStr">
        <is>
          <t>Low</t>
        </is>
      </c>
    </row>
    <row r="31">
      <c r="A31" s="12" t="inlineStr">
        <is>
          <t>C0080</t>
        </is>
      </c>
      <c r="B31" s="12" t="inlineStr">
        <is>
          <t>Freelancer/Gig</t>
        </is>
      </c>
      <c r="C31" s="12" t="inlineStr">
        <is>
          <t>Kolkata</t>
        </is>
      </c>
      <c r="D31" s="12" t="inlineStr">
        <is>
          <t>Tier 1</t>
        </is>
      </c>
      <c r="E31" s="13" t="n">
        <v>36500</v>
      </c>
      <c r="F31" s="12" t="b">
        <v>1</v>
      </c>
      <c r="G31" s="19" t="n">
        <v>46.6</v>
      </c>
      <c r="H31" s="12" t="inlineStr">
        <is>
          <t>Moderate</t>
        </is>
      </c>
      <c r="I31" s="12" t="inlineStr">
        <is>
          <t>Emergency buffer</t>
        </is>
      </c>
      <c r="J31" s="20" t="n">
        <v>0.0583739160158157</v>
      </c>
      <c r="K31" s="20" t="n">
        <v>0.09924323474868341</v>
      </c>
      <c r="L31" s="19" t="n">
        <v>1.232842908055651</v>
      </c>
      <c r="M31" s="21" t="n">
        <v>0.5327761670650516</v>
      </c>
      <c r="N31" s="13" t="n">
        <v>28476.6</v>
      </c>
      <c r="O31" s="13" t="n">
        <v>23958.28</v>
      </c>
      <c r="P31" s="20" t="n">
        <v>0.2045</v>
      </c>
      <c r="Q31" s="12" t="inlineStr">
        <is>
          <t>Medium</t>
        </is>
      </c>
    </row>
    <row r="32">
      <c r="A32" s="12" t="inlineStr">
        <is>
          <t>C0071</t>
        </is>
      </c>
      <c r="B32" s="12" t="inlineStr">
        <is>
          <t>Salaried</t>
        </is>
      </c>
      <c r="C32" s="12" t="inlineStr">
        <is>
          <t>Chandigarh</t>
        </is>
      </c>
      <c r="D32" s="12" t="inlineStr">
        <is>
          <t>Tier 2</t>
        </is>
      </c>
      <c r="E32" s="13" t="n">
        <v>114400</v>
      </c>
      <c r="F32" s="12" t="b">
        <v>0</v>
      </c>
      <c r="G32" s="19" t="n">
        <v>46.2</v>
      </c>
      <c r="H32" s="12" t="inlineStr">
        <is>
          <t>Moderate</t>
        </is>
      </c>
      <c r="I32" s="12" t="inlineStr">
        <is>
          <t>Savings margin</t>
        </is>
      </c>
      <c r="J32" s="20" t="n">
        <v>-0.1999711337969815</v>
      </c>
      <c r="K32" s="20" t="n">
        <v>0.1919019998879762</v>
      </c>
      <c r="L32" s="19" t="n">
        <v>2.476629626533058</v>
      </c>
      <c r="M32" s="21" t="n">
        <v>0.0365571871805022</v>
      </c>
      <c r="N32" s="13" t="n">
        <v>306885.22</v>
      </c>
      <c r="O32" s="13" t="n">
        <v>328509.04</v>
      </c>
      <c r="P32" s="20" t="n">
        <v>0.0112</v>
      </c>
      <c r="Q32" s="12" t="inlineStr">
        <is>
          <t>Low</t>
        </is>
      </c>
    </row>
    <row r="33">
      <c r="A33" s="12" t="inlineStr">
        <is>
          <t>C0063</t>
        </is>
      </c>
      <c r="B33" s="12" t="inlineStr">
        <is>
          <t>Freelancer/Gig</t>
        </is>
      </c>
      <c r="C33" s="12" t="inlineStr">
        <is>
          <t>Kolkata</t>
        </is>
      </c>
      <c r="D33" s="12" t="inlineStr">
        <is>
          <t>Tier 1</t>
        </is>
      </c>
      <c r="E33" s="13" t="n">
        <v>47800</v>
      </c>
      <c r="F33" s="12" t="b">
        <v>0</v>
      </c>
      <c r="G33" s="19" t="n">
        <v>45.6</v>
      </c>
      <c r="H33" s="12" t="inlineStr">
        <is>
          <t>Moderate</t>
        </is>
      </c>
      <c r="I33" s="12" t="inlineStr">
        <is>
          <t>Savings margin</t>
        </is>
      </c>
      <c r="J33" s="20" t="n">
        <v>0.0390645251687227</v>
      </c>
      <c r="K33" s="20" t="n">
        <v>0.2277083828198091</v>
      </c>
      <c r="L33" s="19" t="n">
        <v>4.244153196237312</v>
      </c>
      <c r="M33" s="21" t="n">
        <v>0.4371542714553765</v>
      </c>
      <c r="N33" s="13" t="n">
        <v>165236.81</v>
      </c>
      <c r="O33" s="13" t="n">
        <v>163548.38</v>
      </c>
      <c r="P33" s="20" t="n">
        <v>0</v>
      </c>
      <c r="Q33" s="12" t="inlineStr">
        <is>
          <t>Low</t>
        </is>
      </c>
    </row>
    <row r="34">
      <c r="A34" s="12" t="inlineStr">
        <is>
          <t>C0041</t>
        </is>
      </c>
      <c r="B34" s="12" t="inlineStr">
        <is>
          <t>Salaried</t>
        </is>
      </c>
      <c r="C34" s="12" t="inlineStr">
        <is>
          <t>Kochi</t>
        </is>
      </c>
      <c r="D34" s="12" t="inlineStr">
        <is>
          <t>Tier 2</t>
        </is>
      </c>
      <c r="E34" s="13" t="n">
        <v>95600</v>
      </c>
      <c r="F34" s="12" t="b">
        <v>1</v>
      </c>
      <c r="G34" s="19" t="n">
        <v>44.1</v>
      </c>
      <c r="H34" s="12" t="inlineStr">
        <is>
          <t>Moderate</t>
        </is>
      </c>
      <c r="I34" s="12" t="inlineStr">
        <is>
          <t>Savings margin</t>
        </is>
      </c>
      <c r="J34" s="20" t="n">
        <v>-0.030003732624623</v>
      </c>
      <c r="K34" s="20" t="n">
        <v>0.2811401248876093</v>
      </c>
      <c r="L34" s="19" t="n">
        <v>4.876171082320838</v>
      </c>
      <c r="M34" s="21" t="n">
        <v>0.2033271961251957</v>
      </c>
      <c r="N34" s="13" t="n">
        <v>387016.27</v>
      </c>
      <c r="O34" s="13" t="n">
        <v>370690.37</v>
      </c>
      <c r="P34" s="20" t="n">
        <v>0</v>
      </c>
      <c r="Q34" s="12" t="inlineStr">
        <is>
          <t>Low</t>
        </is>
      </c>
    </row>
    <row r="35">
      <c r="A35" s="12" t="inlineStr">
        <is>
          <t>C0033</t>
        </is>
      </c>
      <c r="B35" s="12" t="inlineStr">
        <is>
          <t>Freelancer/Gig</t>
        </is>
      </c>
      <c r="C35" s="12" t="inlineStr">
        <is>
          <t>Bengaluru</t>
        </is>
      </c>
      <c r="D35" s="12" t="inlineStr">
        <is>
          <t>Tier 1</t>
        </is>
      </c>
      <c r="E35" s="13" t="n">
        <v>97100</v>
      </c>
      <c r="F35" s="12" t="b">
        <v>1</v>
      </c>
      <c r="G35" s="19" t="n">
        <v>43.2</v>
      </c>
      <c r="H35" s="12" t="inlineStr">
        <is>
          <t>Moderate</t>
        </is>
      </c>
      <c r="I35" s="12" t="inlineStr">
        <is>
          <t>Deficit borrowing</t>
        </is>
      </c>
      <c r="J35" s="20" t="n">
        <v>0.0504153164297932</v>
      </c>
      <c r="K35" s="20" t="n">
        <v>0.4089459737748095</v>
      </c>
      <c r="L35" s="19" t="n">
        <v>3.917281676310576</v>
      </c>
      <c r="M35" s="21" t="n">
        <v>0.4112512732926693</v>
      </c>
      <c r="N35" s="13" t="n">
        <v>287308.82</v>
      </c>
      <c r="O35" s="13" t="n">
        <v>279767.47</v>
      </c>
      <c r="P35" s="20" t="n">
        <v>0</v>
      </c>
      <c r="Q35" s="12" t="inlineStr">
        <is>
          <t>Low</t>
        </is>
      </c>
    </row>
    <row r="36">
      <c r="A36" s="12" t="inlineStr">
        <is>
          <t>C0013</t>
        </is>
      </c>
      <c r="B36" s="12" t="inlineStr">
        <is>
          <t>Freelancer/Gig</t>
        </is>
      </c>
      <c r="C36" s="12" t="inlineStr">
        <is>
          <t>Ahmedabad</t>
        </is>
      </c>
      <c r="D36" s="12" t="inlineStr">
        <is>
          <t>Tier 1</t>
        </is>
      </c>
      <c r="E36" s="13" t="n">
        <v>76900</v>
      </c>
      <c r="F36" s="12" t="b">
        <v>1</v>
      </c>
      <c r="G36" s="19" t="n">
        <v>42.7</v>
      </c>
      <c r="H36" s="12" t="inlineStr">
        <is>
          <t>Moderate</t>
        </is>
      </c>
      <c r="I36" s="12" t="inlineStr">
        <is>
          <t>Savings margin</t>
        </is>
      </c>
      <c r="J36" s="20" t="n">
        <v>-0.0050836384739894</v>
      </c>
      <c r="K36" s="20" t="n">
        <v>0.1163699780211292</v>
      </c>
      <c r="L36" s="19" t="n">
        <v>4.079962492823991</v>
      </c>
      <c r="M36" s="21" t="n">
        <v>0.524150154341433</v>
      </c>
      <c r="N36" s="13" t="n">
        <v>191319.07</v>
      </c>
      <c r="O36" s="13" t="n">
        <v>175450.62</v>
      </c>
      <c r="P36" s="20" t="n">
        <v>0</v>
      </c>
      <c r="Q36" s="12" t="inlineStr">
        <is>
          <t>Low</t>
        </is>
      </c>
    </row>
    <row r="37">
      <c r="A37" s="12" t="inlineStr">
        <is>
          <t>C0004</t>
        </is>
      </c>
      <c r="B37" s="12" t="inlineStr">
        <is>
          <t>Freelancer/Gig</t>
        </is>
      </c>
      <c r="C37" s="12" t="inlineStr">
        <is>
          <t>Pune</t>
        </is>
      </c>
      <c r="D37" s="12" t="inlineStr">
        <is>
          <t>Tier 1</t>
        </is>
      </c>
      <c r="E37" s="13" t="n">
        <v>37900</v>
      </c>
      <c r="F37" s="12" t="b">
        <v>0</v>
      </c>
      <c r="G37" s="19" t="n">
        <v>42.2</v>
      </c>
      <c r="H37" s="12" t="inlineStr">
        <is>
          <t>Moderate</t>
        </is>
      </c>
      <c r="I37" s="12" t="inlineStr">
        <is>
          <t>Emergency buffer</t>
        </is>
      </c>
      <c r="J37" s="20" t="n">
        <v>0.0770158180815514</v>
      </c>
      <c r="K37" s="20" t="n">
        <v>0.1003186416190374</v>
      </c>
      <c r="L37" s="19" t="n">
        <v>2.061520198493592</v>
      </c>
      <c r="M37" s="21" t="n">
        <v>0.5439468197564644</v>
      </c>
      <c r="N37" s="13" t="n">
        <v>50297.87</v>
      </c>
      <c r="O37" s="13" t="n">
        <v>43447.06</v>
      </c>
      <c r="P37" s="20" t="n">
        <v>0.0224</v>
      </c>
      <c r="Q37" s="12" t="inlineStr">
        <is>
          <t>Low</t>
        </is>
      </c>
    </row>
    <row r="38">
      <c r="A38" s="12" t="inlineStr">
        <is>
          <t>C0087</t>
        </is>
      </c>
      <c r="B38" s="12" t="inlineStr">
        <is>
          <t>Salaried</t>
        </is>
      </c>
      <c r="C38" s="12" t="inlineStr">
        <is>
          <t>Kolkata</t>
        </is>
      </c>
      <c r="D38" s="12" t="inlineStr">
        <is>
          <t>Tier 1</t>
        </is>
      </c>
      <c r="E38" s="13" t="n">
        <v>90500</v>
      </c>
      <c r="F38" s="12" t="b">
        <v>1</v>
      </c>
      <c r="G38" s="19" t="n">
        <v>41.4</v>
      </c>
      <c r="H38" s="12" t="inlineStr">
        <is>
          <t>Moderate</t>
        </is>
      </c>
      <c r="I38" s="12" t="inlineStr">
        <is>
          <t>Savings margin</t>
        </is>
      </c>
      <c r="J38" s="20" t="n">
        <v>0.0232586457566872</v>
      </c>
      <c r="K38" s="20" t="n">
        <v>0.0995230701144466</v>
      </c>
      <c r="L38" s="19" t="n">
        <v>3.517032962409922</v>
      </c>
      <c r="M38" s="21" t="n">
        <v>0.0417666346213778</v>
      </c>
      <c r="N38" s="13" t="n">
        <v>231990.37</v>
      </c>
      <c r="O38" s="13" t="n">
        <v>203967.72</v>
      </c>
      <c r="P38" s="20" t="n">
        <v>0</v>
      </c>
      <c r="Q38" s="12" t="inlineStr">
        <is>
          <t>Low</t>
        </is>
      </c>
    </row>
    <row r="39">
      <c r="A39" s="12" t="inlineStr">
        <is>
          <t>C0062</t>
        </is>
      </c>
      <c r="B39" s="12" t="inlineStr">
        <is>
          <t>Salaried</t>
        </is>
      </c>
      <c r="C39" s="12" t="inlineStr">
        <is>
          <t>Bhopal</t>
        </is>
      </c>
      <c r="D39" s="12" t="inlineStr">
        <is>
          <t>Tier 2</t>
        </is>
      </c>
      <c r="E39" s="13" t="n">
        <v>43200</v>
      </c>
      <c r="F39" s="12" t="b">
        <v>1</v>
      </c>
      <c r="G39" s="19" t="n">
        <v>41.4</v>
      </c>
      <c r="H39" s="12" t="inlineStr">
        <is>
          <t>Moderate</t>
        </is>
      </c>
      <c r="I39" s="12" t="inlineStr">
        <is>
          <t>Savings margin</t>
        </is>
      </c>
      <c r="J39" s="20" t="n">
        <v>0.0456567778173345</v>
      </c>
      <c r="K39" s="20" t="n">
        <v>0.2882683279232063</v>
      </c>
      <c r="L39" s="19" t="n">
        <v>3.410998660847804</v>
      </c>
      <c r="M39" s="21" t="n">
        <v>0.2024657978005256</v>
      </c>
      <c r="N39" s="13" t="n">
        <v>114391.74</v>
      </c>
      <c r="O39" s="13" t="n">
        <v>114917.97</v>
      </c>
      <c r="P39" s="20" t="n">
        <v>0</v>
      </c>
      <c r="Q39" s="12" t="inlineStr">
        <is>
          <t>Low</t>
        </is>
      </c>
    </row>
    <row r="40">
      <c r="A40" s="12" t="inlineStr">
        <is>
          <t>C0016</t>
        </is>
      </c>
      <c r="B40" s="12" t="inlineStr">
        <is>
          <t>Salaried</t>
        </is>
      </c>
      <c r="C40" s="12" t="inlineStr">
        <is>
          <t>Pune</t>
        </is>
      </c>
      <c r="D40" s="12" t="inlineStr">
        <is>
          <t>Tier 1</t>
        </is>
      </c>
      <c r="E40" s="13" t="n">
        <v>48900</v>
      </c>
      <c r="F40" s="12" t="b">
        <v>1</v>
      </c>
      <c r="G40" s="19" t="n">
        <v>40.9</v>
      </c>
      <c r="H40" s="12" t="inlineStr">
        <is>
          <t>Moderate</t>
        </is>
      </c>
      <c r="I40" s="12" t="inlineStr">
        <is>
          <t>Savings margin</t>
        </is>
      </c>
      <c r="J40" s="20" t="n">
        <v>0.008290785047556501</v>
      </c>
      <c r="K40" s="20" t="n">
        <v>0.156627775411015</v>
      </c>
      <c r="L40" s="19" t="n">
        <v>3.671687208347775</v>
      </c>
      <c r="M40" s="21" t="n">
        <v>0.0527659136239348</v>
      </c>
      <c r="N40" s="13" t="n">
        <v>138712.72</v>
      </c>
      <c r="O40" s="13" t="n">
        <v>126010.54</v>
      </c>
      <c r="P40" s="20" t="n">
        <v>0</v>
      </c>
      <c r="Q40" s="12" t="inlineStr">
        <is>
          <t>Low</t>
        </is>
      </c>
    </row>
    <row r="41">
      <c r="A41" s="12" t="inlineStr">
        <is>
          <t>C0065</t>
        </is>
      </c>
      <c r="B41" s="12" t="inlineStr">
        <is>
          <t>Freelancer/Gig</t>
        </is>
      </c>
      <c r="C41" s="12" t="inlineStr">
        <is>
          <t>Lucknow</t>
        </is>
      </c>
      <c r="D41" s="12" t="inlineStr">
        <is>
          <t>Tier 2</t>
        </is>
      </c>
      <c r="E41" s="13" t="n">
        <v>86800</v>
      </c>
      <c r="F41" s="12" t="b">
        <v>0</v>
      </c>
      <c r="G41" s="19" t="n">
        <v>40.5</v>
      </c>
      <c r="H41" s="12" t="inlineStr">
        <is>
          <t>Moderate</t>
        </is>
      </c>
      <c r="I41" s="12" t="inlineStr">
        <is>
          <t>Emergency buffer</t>
        </is>
      </c>
      <c r="J41" s="20" t="n">
        <v>0.1569229338580462</v>
      </c>
      <c r="K41" s="20" t="n">
        <v>0.1834254368336951</v>
      </c>
      <c r="L41" s="19" t="n">
        <v>3.118349885810579</v>
      </c>
      <c r="M41" s="21" t="n">
        <v>0.4553229185021541</v>
      </c>
      <c r="N41" s="13" t="n">
        <v>189692.16</v>
      </c>
      <c r="O41" s="13" t="n">
        <v>194942.55</v>
      </c>
      <c r="P41" s="20" t="n">
        <v>0</v>
      </c>
      <c r="Q41" s="12" t="inlineStr">
        <is>
          <t>Low</t>
        </is>
      </c>
    </row>
    <row r="42">
      <c r="A42" s="12" t="inlineStr">
        <is>
          <t>C0083</t>
        </is>
      </c>
      <c r="B42" s="12" t="inlineStr">
        <is>
          <t>Salaried</t>
        </is>
      </c>
      <c r="C42" s="12" t="inlineStr">
        <is>
          <t>Chennai</t>
        </is>
      </c>
      <c r="D42" s="12" t="inlineStr">
        <is>
          <t>Tier 1</t>
        </is>
      </c>
      <c r="E42" s="13" t="n">
        <v>119600</v>
      </c>
      <c r="F42" s="12" t="b">
        <v>1</v>
      </c>
      <c r="G42" s="19" t="n">
        <v>40.2</v>
      </c>
      <c r="H42" s="12" t="inlineStr">
        <is>
          <t>Moderate</t>
        </is>
      </c>
      <c r="I42" s="12" t="inlineStr">
        <is>
          <t>Fixed obligations</t>
        </is>
      </c>
      <c r="J42" s="20" t="n">
        <v>0.1103763613011242</v>
      </c>
      <c r="K42" s="20" t="n">
        <v>0.5836306590144026</v>
      </c>
      <c r="L42" s="19" t="n">
        <v>1.791134264838653</v>
      </c>
      <c r="M42" s="21" t="n">
        <v>0.0513396637597951</v>
      </c>
      <c r="N42" s="13" t="n">
        <v>187067.4</v>
      </c>
      <c r="O42" s="13" t="n">
        <v>195014.46</v>
      </c>
      <c r="P42" s="20" t="n">
        <v>0</v>
      </c>
      <c r="Q42" s="12" t="inlineStr">
        <is>
          <t>Low</t>
        </is>
      </c>
    </row>
    <row r="43">
      <c r="A43" s="12" t="inlineStr">
        <is>
          <t>C0075</t>
        </is>
      </c>
      <c r="B43" s="12" t="inlineStr">
        <is>
          <t>Salaried</t>
        </is>
      </c>
      <c r="C43" s="12" t="inlineStr">
        <is>
          <t>Kochi</t>
        </is>
      </c>
      <c r="D43" s="12" t="inlineStr">
        <is>
          <t>Tier 2</t>
        </is>
      </c>
      <c r="E43" s="13" t="n">
        <v>32400</v>
      </c>
      <c r="F43" s="12" t="b">
        <v>1</v>
      </c>
      <c r="G43" s="19" t="n">
        <v>40.2</v>
      </c>
      <c r="H43" s="12" t="inlineStr">
        <is>
          <t>Moderate</t>
        </is>
      </c>
      <c r="I43" s="12" t="inlineStr">
        <is>
          <t>Fixed obligations</t>
        </is>
      </c>
      <c r="J43" s="20" t="n">
        <v>0.1026549017522837</v>
      </c>
      <c r="K43" s="20" t="n">
        <v>0.5634914572717412</v>
      </c>
      <c r="L43" s="19" t="n">
        <v>1.568383474313554</v>
      </c>
      <c r="M43" s="21" t="n">
        <v>0.036387270393969</v>
      </c>
      <c r="N43" s="13" t="n">
        <v>43825.41</v>
      </c>
      <c r="O43" s="13" t="n">
        <v>45244.67</v>
      </c>
      <c r="P43" s="20" t="n">
        <v>0</v>
      </c>
      <c r="Q43" s="12" t="inlineStr">
        <is>
          <t>Low</t>
        </is>
      </c>
    </row>
    <row r="44">
      <c r="A44" s="12" t="inlineStr">
        <is>
          <t>C0007</t>
        </is>
      </c>
      <c r="B44" s="12" t="inlineStr">
        <is>
          <t>Salaried</t>
        </is>
      </c>
      <c r="C44" s="12" t="inlineStr">
        <is>
          <t>Kolkata</t>
        </is>
      </c>
      <c r="D44" s="12" t="inlineStr">
        <is>
          <t>Tier 1</t>
        </is>
      </c>
      <c r="E44" s="13" t="n">
        <v>50000</v>
      </c>
      <c r="F44" s="12" t="b">
        <v>1</v>
      </c>
      <c r="G44" s="19" t="n">
        <v>39.6</v>
      </c>
      <c r="H44" s="12" t="inlineStr">
        <is>
          <t>Moderate</t>
        </is>
      </c>
      <c r="I44" s="12" t="inlineStr">
        <is>
          <t>Fixed obligations</t>
        </is>
      </c>
      <c r="J44" s="20" t="n">
        <v>0.09857540138705299</v>
      </c>
      <c r="K44" s="20" t="n">
        <v>0.5318825313316158</v>
      </c>
      <c r="L44" s="19" t="n">
        <v>2.150886878242774</v>
      </c>
      <c r="M44" s="21" t="n">
        <v>0.0357302929232743</v>
      </c>
      <c r="N44" s="13" t="n">
        <v>85735.24000000001</v>
      </c>
      <c r="O44" s="13" t="n">
        <v>87062.41</v>
      </c>
      <c r="P44" s="20" t="n">
        <v>0</v>
      </c>
      <c r="Q44" s="12" t="inlineStr">
        <is>
          <t>Low</t>
        </is>
      </c>
    </row>
    <row r="45">
      <c r="A45" s="12" t="inlineStr">
        <is>
          <t>C0029</t>
        </is>
      </c>
      <c r="B45" s="12" t="inlineStr">
        <is>
          <t>Salaried</t>
        </is>
      </c>
      <c r="C45" s="12" t="inlineStr">
        <is>
          <t>Mumbai</t>
        </is>
      </c>
      <c r="D45" s="12" t="inlineStr">
        <is>
          <t>Tier 1</t>
        </is>
      </c>
      <c r="E45" s="13" t="n">
        <v>85700</v>
      </c>
      <c r="F45" s="12" t="b">
        <v>1</v>
      </c>
      <c r="G45" s="19" t="n">
        <v>38.6</v>
      </c>
      <c r="H45" s="12" t="inlineStr">
        <is>
          <t>Moderate</t>
        </is>
      </c>
      <c r="I45" s="12" t="inlineStr">
        <is>
          <t>Emergency buffer</t>
        </is>
      </c>
      <c r="J45" s="20" t="n">
        <v>0.0547023488563607</v>
      </c>
      <c r="K45" s="20" t="n">
        <v>0.3765661223166285</v>
      </c>
      <c r="L45" s="19" t="n">
        <v>0.6839253586695572</v>
      </c>
      <c r="M45" s="21" t="n">
        <v>0.0399098889137439</v>
      </c>
      <c r="N45" s="13" t="n">
        <v>44166.46</v>
      </c>
      <c r="O45" s="13" t="n">
        <v>40356.2</v>
      </c>
      <c r="P45" s="20" t="n">
        <v>0.0094</v>
      </c>
      <c r="Q45" s="12" t="inlineStr">
        <is>
          <t>Low</t>
        </is>
      </c>
    </row>
    <row r="46">
      <c r="A46" s="12" t="inlineStr">
        <is>
          <t>C0067</t>
        </is>
      </c>
      <c r="B46" s="12" t="inlineStr">
        <is>
          <t>Salaried</t>
        </is>
      </c>
      <c r="C46" s="12" t="inlineStr">
        <is>
          <t>Kochi</t>
        </is>
      </c>
      <c r="D46" s="12" t="inlineStr">
        <is>
          <t>Tier 2</t>
        </is>
      </c>
      <c r="E46" s="13" t="n">
        <v>91200</v>
      </c>
      <c r="F46" s="12" t="b">
        <v>1</v>
      </c>
      <c r="G46" s="19" t="n">
        <v>37.9</v>
      </c>
      <c r="H46" s="12" t="inlineStr">
        <is>
          <t>Moderate</t>
        </is>
      </c>
      <c r="I46" s="12" t="inlineStr">
        <is>
          <t>Fixed obligations</t>
        </is>
      </c>
      <c r="J46" s="20" t="n">
        <v>0.1345819682800173</v>
      </c>
      <c r="K46" s="20" t="n">
        <v>0.6080231774095829</v>
      </c>
      <c r="L46" s="19" t="n">
        <v>2.539417206032481</v>
      </c>
      <c r="M46" s="21" t="n">
        <v>0.1484313664020963</v>
      </c>
      <c r="N46" s="13" t="n">
        <v>193643.75</v>
      </c>
      <c r="O46" s="13" t="n">
        <v>204038.59</v>
      </c>
      <c r="P46" s="20" t="n">
        <v>0</v>
      </c>
      <c r="Q46" s="12" t="inlineStr">
        <is>
          <t>Low</t>
        </is>
      </c>
    </row>
    <row r="47">
      <c r="A47" s="12" t="inlineStr">
        <is>
          <t>C0043</t>
        </is>
      </c>
      <c r="B47" s="12" t="inlineStr">
        <is>
          <t>Freelancer/Gig</t>
        </is>
      </c>
      <c r="C47" s="12" t="inlineStr">
        <is>
          <t>Mumbai</t>
        </is>
      </c>
      <c r="D47" s="12" t="inlineStr">
        <is>
          <t>Tier 1</t>
        </is>
      </c>
      <c r="E47" s="13" t="n">
        <v>73000</v>
      </c>
      <c r="F47" s="12" t="b">
        <v>1</v>
      </c>
      <c r="G47" s="19" t="n">
        <v>37.1</v>
      </c>
      <c r="H47" s="12" t="inlineStr">
        <is>
          <t>Moderate</t>
        </is>
      </c>
      <c r="I47" s="12" t="inlineStr">
        <is>
          <t>Income instability</t>
        </is>
      </c>
      <c r="J47" s="20" t="n">
        <v>0.08731187291846421</v>
      </c>
      <c r="K47" s="20" t="n">
        <v>0.3109127366208648</v>
      </c>
      <c r="L47" s="19" t="n">
        <v>3.841412547917439</v>
      </c>
      <c r="M47" s="21" t="n">
        <v>0.6575111367950909</v>
      </c>
      <c r="N47" s="13" t="n">
        <v>166621.09</v>
      </c>
      <c r="O47" s="13" t="n">
        <v>169516</v>
      </c>
      <c r="P47" s="20" t="n">
        <v>0</v>
      </c>
      <c r="Q47" s="12" t="inlineStr">
        <is>
          <t>Low</t>
        </is>
      </c>
    </row>
    <row r="48">
      <c r="A48" s="12" t="inlineStr">
        <is>
          <t>C0044</t>
        </is>
      </c>
      <c r="B48" s="12" t="inlineStr">
        <is>
          <t>Salaried</t>
        </is>
      </c>
      <c r="C48" s="12" t="inlineStr">
        <is>
          <t>Delhi</t>
        </is>
      </c>
      <c r="D48" s="12" t="inlineStr">
        <is>
          <t>Tier 1</t>
        </is>
      </c>
      <c r="E48" s="13" t="n">
        <v>62800</v>
      </c>
      <c r="F48" s="12" t="b">
        <v>1</v>
      </c>
      <c r="G48" s="19" t="n">
        <v>35.3</v>
      </c>
      <c r="H48" s="12" t="inlineStr">
        <is>
          <t>Moderate</t>
        </is>
      </c>
      <c r="I48" s="12" t="inlineStr">
        <is>
          <t>Fixed obligations</t>
        </is>
      </c>
      <c r="J48" s="20" t="n">
        <v>0.0928153075803787</v>
      </c>
      <c r="K48" s="20" t="n">
        <v>0.5072476071810297</v>
      </c>
      <c r="L48" s="19" t="n">
        <v>2.531235972984538</v>
      </c>
      <c r="M48" s="21" t="n">
        <v>0.1871660912329674</v>
      </c>
      <c r="N48" s="13" t="n">
        <v>132831.32</v>
      </c>
      <c r="O48" s="13" t="n">
        <v>133055.66</v>
      </c>
      <c r="P48" s="20" t="n">
        <v>0</v>
      </c>
      <c r="Q48" s="12" t="inlineStr">
        <is>
          <t>Low</t>
        </is>
      </c>
    </row>
    <row r="49">
      <c r="A49" s="12" t="inlineStr">
        <is>
          <t>C0017</t>
        </is>
      </c>
      <c r="B49" s="12" t="inlineStr">
        <is>
          <t>Salaried</t>
        </is>
      </c>
      <c r="C49" s="12" t="inlineStr">
        <is>
          <t>Coimbatore</t>
        </is>
      </c>
      <c r="D49" s="12" t="inlineStr">
        <is>
          <t>Tier 2</t>
        </is>
      </c>
      <c r="E49" s="13" t="n">
        <v>123300</v>
      </c>
      <c r="F49" s="12" t="b">
        <v>0</v>
      </c>
      <c r="G49" s="19" t="n">
        <v>31.6</v>
      </c>
      <c r="H49" s="12" t="inlineStr">
        <is>
          <t>Moderate</t>
        </is>
      </c>
      <c r="I49" s="12" t="inlineStr">
        <is>
          <t>Savings margin</t>
        </is>
      </c>
      <c r="J49" s="20" t="n">
        <v>-0.0235718193763386</v>
      </c>
      <c r="K49" s="20" t="n">
        <v>0.1620117533342806</v>
      </c>
      <c r="L49" s="19" t="n">
        <v>5.957912828751136</v>
      </c>
      <c r="M49" s="21" t="n">
        <v>0.1588860163275706</v>
      </c>
      <c r="N49" s="13" t="n">
        <v>498615.55</v>
      </c>
      <c r="O49" s="13" t="n">
        <v>457122.59</v>
      </c>
      <c r="P49" s="20" t="n">
        <v>0</v>
      </c>
      <c r="Q49" s="12" t="inlineStr">
        <is>
          <t>Low</t>
        </is>
      </c>
    </row>
    <row r="50">
      <c r="A50" s="12" t="inlineStr">
        <is>
          <t>C0119</t>
        </is>
      </c>
      <c r="B50" s="12" t="inlineStr">
        <is>
          <t>Freelancer/Gig</t>
        </is>
      </c>
      <c r="C50" s="12" t="inlineStr">
        <is>
          <t>Ahmedabad</t>
        </is>
      </c>
      <c r="D50" s="12" t="inlineStr">
        <is>
          <t>Tier 1</t>
        </is>
      </c>
      <c r="E50" s="13" t="n">
        <v>39300</v>
      </c>
      <c r="F50" s="12" t="b">
        <v>1</v>
      </c>
      <c r="G50" s="19" t="n">
        <v>29.1</v>
      </c>
      <c r="H50" s="12" t="inlineStr">
        <is>
          <t>Low</t>
        </is>
      </c>
      <c r="I50" s="12" t="inlineStr">
        <is>
          <t>Deficit borrowing</t>
        </is>
      </c>
      <c r="J50" s="20" t="n">
        <v>0.1212287585847361</v>
      </c>
      <c r="K50" s="20" t="n">
        <v>0.3320777596091095</v>
      </c>
      <c r="L50" s="19" t="n">
        <v>4.248089772903038</v>
      </c>
      <c r="M50" s="21" t="n">
        <v>0.3676969211744604</v>
      </c>
      <c r="N50" s="13" t="n">
        <v>115261.14</v>
      </c>
      <c r="O50" s="13" t="n">
        <v>116507.83</v>
      </c>
      <c r="P50" s="20" t="n">
        <v>0</v>
      </c>
      <c r="Q50" s="12" t="inlineStr">
        <is>
          <t>Low</t>
        </is>
      </c>
    </row>
    <row r="51">
      <c r="A51" s="12" t="inlineStr">
        <is>
          <t>C0026</t>
        </is>
      </c>
      <c r="B51" s="12" t="inlineStr">
        <is>
          <t>Salaried</t>
        </is>
      </c>
      <c r="C51" s="12" t="inlineStr">
        <is>
          <t>Chennai</t>
        </is>
      </c>
      <c r="D51" s="12" t="inlineStr">
        <is>
          <t>Tier 1</t>
        </is>
      </c>
      <c r="E51" s="13" t="n">
        <v>54900</v>
      </c>
      <c r="F51" s="12" t="b">
        <v>0</v>
      </c>
      <c r="G51" s="19" t="n">
        <v>26</v>
      </c>
      <c r="H51" s="12" t="inlineStr">
        <is>
          <t>Low</t>
        </is>
      </c>
      <c r="I51" s="12" t="inlineStr">
        <is>
          <t>Expense growth</t>
        </is>
      </c>
      <c r="J51" s="20" t="n">
        <v>0.1172701644874832</v>
      </c>
      <c r="K51" s="20" t="n">
        <v>0.0257183399898956</v>
      </c>
      <c r="L51" s="19" t="n">
        <v>4.036039783757222</v>
      </c>
      <c r="M51" s="21" t="n">
        <v>0.025900420735155</v>
      </c>
      <c r="N51" s="13" t="n">
        <v>138642.83</v>
      </c>
      <c r="O51" s="13" t="n">
        <v>139536.86</v>
      </c>
      <c r="P51" s="20" t="n">
        <v>0</v>
      </c>
      <c r="Q51" s="12" t="inlineStr">
        <is>
          <t>Low</t>
        </is>
      </c>
    </row>
    <row r="52">
      <c r="A52" s="12" t="inlineStr">
        <is>
          <t>C0073</t>
        </is>
      </c>
      <c r="B52" s="12" t="inlineStr">
        <is>
          <t>Salaried</t>
        </is>
      </c>
      <c r="C52" s="12" t="inlineStr">
        <is>
          <t>Delhi</t>
        </is>
      </c>
      <c r="D52" s="12" t="inlineStr">
        <is>
          <t>Tier 1</t>
        </is>
      </c>
      <c r="E52" s="13" t="n">
        <v>59100</v>
      </c>
      <c r="F52" s="12" t="b">
        <v>1</v>
      </c>
      <c r="G52" s="19" t="n">
        <v>25.4</v>
      </c>
      <c r="H52" s="12" t="inlineStr">
        <is>
          <t>Low</t>
        </is>
      </c>
      <c r="I52" s="12" t="inlineStr">
        <is>
          <t>Savings margin</t>
        </is>
      </c>
      <c r="J52" s="20" t="n">
        <v>0.0464757106231399</v>
      </c>
      <c r="K52" s="20" t="n">
        <v>0.3634957400290234</v>
      </c>
      <c r="L52" s="19" t="n">
        <v>5.685918966594405</v>
      </c>
      <c r="M52" s="21" t="n">
        <v>0.2135785004386133</v>
      </c>
      <c r="N52" s="13" t="n">
        <v>247502.85</v>
      </c>
      <c r="O52" s="13" t="n">
        <v>236469.18</v>
      </c>
      <c r="P52" s="20" t="n">
        <v>0</v>
      </c>
      <c r="Q52" s="12" t="inlineStr">
        <is>
          <t>Low</t>
        </is>
      </c>
    </row>
    <row r="53">
      <c r="A53" s="12" t="inlineStr">
        <is>
          <t>C0069</t>
        </is>
      </c>
      <c r="B53" s="12" t="inlineStr">
        <is>
          <t>Freelancer/Gig</t>
        </is>
      </c>
      <c r="C53" s="12" t="inlineStr">
        <is>
          <t>Jaipur</t>
        </is>
      </c>
      <c r="D53" s="12" t="inlineStr">
        <is>
          <t>Tier 2</t>
        </is>
      </c>
      <c r="E53" s="13" t="n">
        <v>93100</v>
      </c>
      <c r="F53" s="12" t="b">
        <v>1</v>
      </c>
      <c r="G53" s="19" t="n">
        <v>24.1</v>
      </c>
      <c r="H53" s="12" t="inlineStr">
        <is>
          <t>Low</t>
        </is>
      </c>
      <c r="I53" s="12" t="inlineStr">
        <is>
          <t>Expense growth</t>
        </is>
      </c>
      <c r="J53" s="20" t="n">
        <v>0.1999200820924783</v>
      </c>
      <c r="K53" s="20" t="n">
        <v>0.1984517186382122</v>
      </c>
      <c r="L53" s="19" t="n">
        <v>4.538278559628662</v>
      </c>
      <c r="M53" s="21" t="n">
        <v>0.3704942440132735</v>
      </c>
      <c r="N53" s="13" t="n">
        <v>348788.96</v>
      </c>
      <c r="O53" s="13" t="n">
        <v>364463.83</v>
      </c>
      <c r="P53" s="20" t="n">
        <v>0</v>
      </c>
      <c r="Q53" s="12" t="inlineStr">
        <is>
          <t>Low</t>
        </is>
      </c>
    </row>
    <row r="54">
      <c r="A54" s="12" t="inlineStr">
        <is>
          <t>C0095</t>
        </is>
      </c>
      <c r="B54" s="12" t="inlineStr">
        <is>
          <t>Freelancer/Gig</t>
        </is>
      </c>
      <c r="C54" s="12" t="inlineStr">
        <is>
          <t>Hyderabad</t>
        </is>
      </c>
      <c r="D54" s="12" t="inlineStr">
        <is>
          <t>Tier 1</t>
        </is>
      </c>
      <c r="E54" s="13" t="n">
        <v>83900</v>
      </c>
      <c r="F54" s="12" t="b">
        <v>1</v>
      </c>
      <c r="G54" s="19" t="n">
        <v>22.8</v>
      </c>
      <c r="H54" s="12" t="inlineStr">
        <is>
          <t>Low</t>
        </is>
      </c>
      <c r="I54" s="12" t="inlineStr">
        <is>
          <t>Income instability</t>
        </is>
      </c>
      <c r="J54" s="20" t="n">
        <v>0.2526278002895321</v>
      </c>
      <c r="K54" s="20" t="n">
        <v>0.3639390598824582</v>
      </c>
      <c r="L54" s="19" t="n">
        <v>4.074892408663784</v>
      </c>
      <c r="M54" s="21" t="n">
        <v>0.5088910722632956</v>
      </c>
      <c r="N54" s="13" t="n">
        <v>253105.85</v>
      </c>
      <c r="O54" s="13" t="n">
        <v>275172.51</v>
      </c>
      <c r="P54" s="20" t="n">
        <v>0</v>
      </c>
      <c r="Q54" s="12" t="inlineStr">
        <is>
          <t>Low</t>
        </is>
      </c>
    </row>
    <row r="55">
      <c r="A55" s="12" t="inlineStr">
        <is>
          <t>C0099</t>
        </is>
      </c>
      <c r="B55" s="12" t="inlineStr">
        <is>
          <t>Salaried</t>
        </is>
      </c>
      <c r="C55" s="12" t="inlineStr">
        <is>
          <t>Patna</t>
        </is>
      </c>
      <c r="D55" s="12" t="inlineStr">
        <is>
          <t>Tier 3</t>
        </is>
      </c>
      <c r="E55" s="13" t="n">
        <v>55900</v>
      </c>
      <c r="F55" s="12" t="b">
        <v>0</v>
      </c>
      <c r="G55" s="19" t="n">
        <v>20</v>
      </c>
      <c r="H55" s="12" t="inlineStr">
        <is>
          <t>Low</t>
        </is>
      </c>
      <c r="I55" s="12" t="inlineStr">
        <is>
          <t>Expense growth</t>
        </is>
      </c>
      <c r="J55" s="20" t="n">
        <v>0.1684510314017892</v>
      </c>
      <c r="K55" s="20" t="n">
        <v>0.1490167856459768</v>
      </c>
      <c r="L55" s="19" t="n">
        <v>3.828310297059492</v>
      </c>
      <c r="M55" s="21" t="n">
        <v>0.0538633357559981</v>
      </c>
      <c r="N55" s="13" t="n">
        <v>136741.68</v>
      </c>
      <c r="O55" s="13" t="n">
        <v>139951.68</v>
      </c>
      <c r="P55" s="20" t="n">
        <v>0</v>
      </c>
      <c r="Q55" s="12" t="inlineStr">
        <is>
          <t>Low</t>
        </is>
      </c>
    </row>
    <row r="56">
      <c r="A56" s="12" t="inlineStr">
        <is>
          <t>C0047</t>
        </is>
      </c>
      <c r="B56" s="12" t="inlineStr">
        <is>
          <t>Salaried</t>
        </is>
      </c>
      <c r="C56" s="12" t="inlineStr">
        <is>
          <t>Jaipur</t>
        </is>
      </c>
      <c r="D56" s="12" t="inlineStr">
        <is>
          <t>Tier 2</t>
        </is>
      </c>
      <c r="E56" s="13" t="n">
        <v>93100</v>
      </c>
      <c r="F56" s="12" t="b">
        <v>1</v>
      </c>
      <c r="G56" s="19" t="n">
        <v>19.9</v>
      </c>
      <c r="H56" s="12" t="inlineStr">
        <is>
          <t>Low</t>
        </is>
      </c>
      <c r="I56" s="12" t="inlineStr">
        <is>
          <t>Deficit borrowing</t>
        </is>
      </c>
      <c r="J56" s="20" t="n">
        <v>0.2067998561557555</v>
      </c>
      <c r="K56" s="20" t="n">
        <v>0.2771054808893589</v>
      </c>
      <c r="L56" s="19" t="n">
        <v>5.776232222812506</v>
      </c>
      <c r="M56" s="21" t="n">
        <v>0.4258633776292357</v>
      </c>
      <c r="N56" s="13" t="n">
        <v>406135.86</v>
      </c>
      <c r="O56" s="13" t="n">
        <v>435492.39</v>
      </c>
      <c r="P56" s="20" t="n">
        <v>0</v>
      </c>
      <c r="Q56" s="12" t="inlineStr">
        <is>
          <t>Low</t>
        </is>
      </c>
    </row>
    <row r="57">
      <c r="A57" s="12" t="inlineStr">
        <is>
          <t>C0020</t>
        </is>
      </c>
      <c r="B57" s="12" t="inlineStr">
        <is>
          <t>Salaried</t>
        </is>
      </c>
      <c r="C57" s="12" t="inlineStr">
        <is>
          <t>Nagpur</t>
        </is>
      </c>
      <c r="D57" s="12" t="inlineStr">
        <is>
          <t>Tier 2</t>
        </is>
      </c>
      <c r="E57" s="13" t="n">
        <v>90200</v>
      </c>
      <c r="F57" s="12" t="b">
        <v>1</v>
      </c>
      <c r="G57" s="19" t="n">
        <v>19.7</v>
      </c>
      <c r="H57" s="12" t="inlineStr">
        <is>
          <t>Low</t>
        </is>
      </c>
      <c r="I57" s="12" t="inlineStr">
        <is>
          <t>Emergency buffer</t>
        </is>
      </c>
      <c r="J57" s="20" t="n">
        <v>0.2541359879904806</v>
      </c>
      <c r="K57" s="20" t="n">
        <v>0.123053768169953</v>
      </c>
      <c r="L57" s="19" t="n">
        <v>2.23484216383468</v>
      </c>
      <c r="M57" s="21" t="n">
        <v>0.1485167418221185</v>
      </c>
      <c r="N57" s="13" t="n">
        <v>110209.96</v>
      </c>
      <c r="O57" s="13" t="n">
        <v>110178.49</v>
      </c>
      <c r="P57" s="20" t="n">
        <v>0</v>
      </c>
      <c r="Q57" s="12" t="inlineStr">
        <is>
          <t>Low</t>
        </is>
      </c>
    </row>
    <row r="58">
      <c r="A58" s="12" t="inlineStr">
        <is>
          <t>C0078</t>
        </is>
      </c>
      <c r="B58" s="12" t="inlineStr">
        <is>
          <t>Salaried</t>
        </is>
      </c>
      <c r="C58" s="12" t="inlineStr">
        <is>
          <t>Kolkata</t>
        </is>
      </c>
      <c r="D58" s="12" t="inlineStr">
        <is>
          <t>Tier 1</t>
        </is>
      </c>
      <c r="E58" s="13" t="n">
        <v>161800</v>
      </c>
      <c r="F58" s="12" t="b">
        <v>0</v>
      </c>
      <c r="G58" s="19" t="n">
        <v>18.4</v>
      </c>
      <c r="H58" s="12" t="inlineStr">
        <is>
          <t>Low</t>
        </is>
      </c>
      <c r="I58" s="12" t="inlineStr">
        <is>
          <t>Expense growth</t>
        </is>
      </c>
      <c r="J58" s="20" t="n">
        <v>0.2643700959221862</v>
      </c>
      <c r="K58" s="20" t="n">
        <v>0.1938151171018715</v>
      </c>
      <c r="L58" s="19" t="n">
        <v>11.3416397504667</v>
      </c>
      <c r="M58" s="21" t="n">
        <v>0.1886331743678687</v>
      </c>
      <c r="N58" s="13" t="n">
        <v>1218088.65</v>
      </c>
      <c r="O58" s="13" t="n">
        <v>1253739.59</v>
      </c>
      <c r="P58" s="20" t="n">
        <v>0</v>
      </c>
      <c r="Q58" s="12" t="inlineStr">
        <is>
          <t>Low</t>
        </is>
      </c>
    </row>
    <row r="59">
      <c r="A59" s="12" t="inlineStr">
        <is>
          <t>C0053</t>
        </is>
      </c>
      <c r="B59" s="12" t="inlineStr">
        <is>
          <t>Salaried</t>
        </is>
      </c>
      <c r="C59" s="12" t="inlineStr">
        <is>
          <t>Pune</t>
        </is>
      </c>
      <c r="D59" s="12" t="inlineStr">
        <is>
          <t>Tier 1</t>
        </is>
      </c>
      <c r="E59" s="13" t="n">
        <v>114100</v>
      </c>
      <c r="F59" s="12" t="b">
        <v>0</v>
      </c>
      <c r="G59" s="19" t="n">
        <v>17</v>
      </c>
      <c r="H59" s="12" t="inlineStr">
        <is>
          <t>Low</t>
        </is>
      </c>
      <c r="I59" s="12" t="inlineStr">
        <is>
          <t>Savings margin</t>
        </is>
      </c>
      <c r="J59" s="20" t="n">
        <v>0.0528413179986635</v>
      </c>
      <c r="K59" s="20" t="n">
        <v>0.2430230151857255</v>
      </c>
      <c r="L59" s="19" t="n">
        <v>7.127584472714262</v>
      </c>
      <c r="M59" s="21" t="n">
        <v>0.2316451826119678</v>
      </c>
      <c r="N59" s="13" t="n">
        <v>508442.14</v>
      </c>
      <c r="O59" s="13" t="n">
        <v>489559.43</v>
      </c>
      <c r="P59" s="20" t="n">
        <v>0</v>
      </c>
      <c r="Q59" s="12" t="inlineStr">
        <is>
          <t>Low</t>
        </is>
      </c>
    </row>
    <row r="60">
      <c r="A60" s="12" t="inlineStr">
        <is>
          <t>C0030</t>
        </is>
      </c>
      <c r="B60" s="12" t="inlineStr">
        <is>
          <t>Freelancer/Gig</t>
        </is>
      </c>
      <c r="C60" s="12" t="inlineStr">
        <is>
          <t>Coimbatore</t>
        </is>
      </c>
      <c r="D60" s="12" t="inlineStr">
        <is>
          <t>Tier 2</t>
        </is>
      </c>
      <c r="E60" s="13" t="n">
        <v>26900</v>
      </c>
      <c r="F60" s="12" t="b">
        <v>0</v>
      </c>
      <c r="G60" s="19" t="n">
        <v>16.7</v>
      </c>
      <c r="H60" s="12" t="inlineStr">
        <is>
          <t>Low</t>
        </is>
      </c>
      <c r="I60" s="12" t="inlineStr">
        <is>
          <t>Income instability</t>
        </is>
      </c>
      <c r="J60" s="20" t="n">
        <v>0.306109173946825</v>
      </c>
      <c r="K60" s="20" t="n">
        <v>0.1529306979476586</v>
      </c>
      <c r="L60" s="19" t="n">
        <v>11.55414152318216</v>
      </c>
      <c r="M60" s="21" t="n">
        <v>0.6298875547564752</v>
      </c>
      <c r="N60" s="13" t="n">
        <v>187876.85</v>
      </c>
      <c r="O60" s="13" t="n">
        <v>194920.95</v>
      </c>
      <c r="P60" s="20" t="n">
        <v>0</v>
      </c>
      <c r="Q60" s="12" t="inlineStr">
        <is>
          <t>Low</t>
        </is>
      </c>
    </row>
    <row r="61">
      <c r="A61" s="12" t="inlineStr">
        <is>
          <t>C0048</t>
        </is>
      </c>
      <c r="B61" s="12" t="inlineStr">
        <is>
          <t>Freelancer/Gig</t>
        </is>
      </c>
      <c r="C61" s="12" t="inlineStr">
        <is>
          <t>Delhi</t>
        </is>
      </c>
      <c r="D61" s="12" t="inlineStr">
        <is>
          <t>Tier 1</t>
        </is>
      </c>
      <c r="E61" s="13" t="n">
        <v>95300</v>
      </c>
      <c r="F61" s="12" t="b">
        <v>0</v>
      </c>
      <c r="G61" s="19" t="n">
        <v>16.6</v>
      </c>
      <c r="H61" s="12" t="inlineStr">
        <is>
          <t>Low</t>
        </is>
      </c>
      <c r="I61" s="12" t="inlineStr">
        <is>
          <t>Income instability</t>
        </is>
      </c>
      <c r="J61" s="20" t="n">
        <v>0.2518833324003774</v>
      </c>
      <c r="K61" s="20" t="n">
        <v>0.1736856318830723</v>
      </c>
      <c r="L61" s="19" t="n">
        <v>5.477804995562456</v>
      </c>
      <c r="M61" s="21" t="n">
        <v>0.5018408044838945</v>
      </c>
      <c r="N61" s="13" t="n">
        <v>335300.05</v>
      </c>
      <c r="O61" s="13" t="n">
        <v>350378.53</v>
      </c>
      <c r="P61" s="20" t="n">
        <v>0</v>
      </c>
      <c r="Q61" s="12" t="inlineStr">
        <is>
          <t>Low</t>
        </is>
      </c>
    </row>
    <row r="62">
      <c r="A62" s="12" t="inlineStr">
        <is>
          <t>C0111</t>
        </is>
      </c>
      <c r="B62" s="12" t="inlineStr">
        <is>
          <t>Salaried</t>
        </is>
      </c>
      <c r="C62" s="12" t="inlineStr">
        <is>
          <t>Mumbai</t>
        </is>
      </c>
      <c r="D62" s="12" t="inlineStr">
        <is>
          <t>Tier 1</t>
        </is>
      </c>
      <c r="E62" s="13" t="n">
        <v>48100</v>
      </c>
      <c r="F62" s="12" t="b">
        <v>1</v>
      </c>
      <c r="G62" s="19" t="n">
        <v>15.7</v>
      </c>
      <c r="H62" s="12" t="inlineStr">
        <is>
          <t>Low</t>
        </is>
      </c>
      <c r="I62" s="12" t="inlineStr">
        <is>
          <t>Emergency buffer</t>
        </is>
      </c>
      <c r="J62" s="20" t="n">
        <v>0.1090678293197809</v>
      </c>
      <c r="K62" s="20" t="n">
        <v>0.3255885686587954</v>
      </c>
      <c r="L62" s="19" t="n">
        <v>3.939790213476086</v>
      </c>
      <c r="M62" s="21" t="n">
        <v>0.0284065837737729</v>
      </c>
      <c r="N62" s="13" t="n">
        <v>122834.95</v>
      </c>
      <c r="O62" s="13" t="n">
        <v>119935.16</v>
      </c>
      <c r="P62" s="20" t="n">
        <v>0</v>
      </c>
      <c r="Q62" s="12" t="inlineStr">
        <is>
          <t>Low</t>
        </is>
      </c>
    </row>
    <row r="63">
      <c r="A63" s="12" t="inlineStr">
        <is>
          <t>C0086</t>
        </is>
      </c>
      <c r="B63" s="12" t="inlineStr">
        <is>
          <t>Salaried</t>
        </is>
      </c>
      <c r="C63" s="12" t="inlineStr">
        <is>
          <t>Lucknow</t>
        </is>
      </c>
      <c r="D63" s="12" t="inlineStr">
        <is>
          <t>Tier 2</t>
        </is>
      </c>
      <c r="E63" s="13" t="n">
        <v>135000</v>
      </c>
      <c r="F63" s="12" t="b">
        <v>0</v>
      </c>
      <c r="G63" s="19" t="n">
        <v>14.9</v>
      </c>
      <c r="H63" s="12" t="inlineStr">
        <is>
          <t>Low</t>
        </is>
      </c>
      <c r="I63" s="12" t="inlineStr">
        <is>
          <t>Emergency buffer</t>
        </is>
      </c>
      <c r="J63" s="20" t="n">
        <v>0.1238215153286752</v>
      </c>
      <c r="K63" s="20" t="n">
        <v>0.1847251694401656</v>
      </c>
      <c r="L63" s="19" t="n">
        <v>4.317397195678411</v>
      </c>
      <c r="M63" s="21" t="n">
        <v>0.1198824488375708</v>
      </c>
      <c r="N63" s="13" t="n">
        <v>324329.08</v>
      </c>
      <c r="O63" s="13" t="n">
        <v>309486.5</v>
      </c>
      <c r="P63" s="20" t="n">
        <v>0</v>
      </c>
      <c r="Q63" s="12" t="inlineStr">
        <is>
          <t>Low</t>
        </is>
      </c>
    </row>
    <row r="64">
      <c r="A64" s="12" t="inlineStr">
        <is>
          <t>C0116</t>
        </is>
      </c>
      <c r="B64" s="12" t="inlineStr">
        <is>
          <t>Salaried</t>
        </is>
      </c>
      <c r="C64" s="12" t="inlineStr">
        <is>
          <t>Indore</t>
        </is>
      </c>
      <c r="D64" s="12" t="inlineStr">
        <is>
          <t>Tier 2</t>
        </is>
      </c>
      <c r="E64" s="13" t="n">
        <v>114000</v>
      </c>
      <c r="F64" s="12" t="b">
        <v>0</v>
      </c>
      <c r="G64" s="19" t="n">
        <v>14.8</v>
      </c>
      <c r="H64" s="12" t="inlineStr">
        <is>
          <t>Low</t>
        </is>
      </c>
      <c r="I64" s="12" t="inlineStr">
        <is>
          <t>Emergency buffer</t>
        </is>
      </c>
      <c r="J64" s="20" t="n">
        <v>0.1190977456396795</v>
      </c>
      <c r="K64" s="20" t="n">
        <v>0.1826531247222652</v>
      </c>
      <c r="L64" s="19" t="n">
        <v>4.331466421438373</v>
      </c>
      <c r="M64" s="21" t="n">
        <v>0.0259041986728556</v>
      </c>
      <c r="N64" s="13" t="n">
        <v>280080.17</v>
      </c>
      <c r="O64" s="13" t="n">
        <v>273827.85</v>
      </c>
      <c r="P64" s="20" t="n">
        <v>0</v>
      </c>
      <c r="Q64" s="12" t="inlineStr">
        <is>
          <t>Low</t>
        </is>
      </c>
    </row>
    <row r="65">
      <c r="A65" s="12" t="inlineStr">
        <is>
          <t>C0039</t>
        </is>
      </c>
      <c r="B65" s="12" t="inlineStr">
        <is>
          <t>Salaried</t>
        </is>
      </c>
      <c r="C65" s="12" t="inlineStr">
        <is>
          <t>Mumbai</t>
        </is>
      </c>
      <c r="D65" s="12" t="inlineStr">
        <is>
          <t>Tier 1</t>
        </is>
      </c>
      <c r="E65" s="13" t="n">
        <v>102900</v>
      </c>
      <c r="F65" s="12" t="b">
        <v>0</v>
      </c>
      <c r="G65" s="19" t="n">
        <v>13.7</v>
      </c>
      <c r="H65" s="12" t="inlineStr">
        <is>
          <t>Low</t>
        </is>
      </c>
      <c r="I65" s="12" t="inlineStr">
        <is>
          <t>Emergency buffer</t>
        </is>
      </c>
      <c r="J65" s="20" t="n">
        <v>0.1273121652058524</v>
      </c>
      <c r="K65" s="20" t="n">
        <v>0.2058367056246938</v>
      </c>
      <c r="L65" s="19" t="n">
        <v>3.55147309787215</v>
      </c>
      <c r="M65" s="21" t="n">
        <v>0.0910424100472348</v>
      </c>
      <c r="N65" s="13" t="n">
        <v>214507.3</v>
      </c>
      <c r="O65" s="13" t="n">
        <v>209442.08</v>
      </c>
      <c r="P65" s="20" t="n">
        <v>0</v>
      </c>
      <c r="Q65" s="12" t="inlineStr">
        <is>
          <t>Low</t>
        </is>
      </c>
    </row>
    <row r="66">
      <c r="A66" s="12" t="inlineStr">
        <is>
          <t>C0008</t>
        </is>
      </c>
      <c r="B66" s="12" t="inlineStr">
        <is>
          <t>Salaried</t>
        </is>
      </c>
      <c r="C66" s="12" t="inlineStr">
        <is>
          <t>Chennai</t>
        </is>
      </c>
      <c r="D66" s="12" t="inlineStr">
        <is>
          <t>Tier 1</t>
        </is>
      </c>
      <c r="E66" s="13" t="n">
        <v>146000</v>
      </c>
      <c r="F66" s="12" t="b">
        <v>0</v>
      </c>
      <c r="G66" s="19" t="n">
        <v>13.3</v>
      </c>
      <c r="H66" s="12" t="inlineStr">
        <is>
          <t>Low</t>
        </is>
      </c>
      <c r="I66" s="12" t="inlineStr">
        <is>
          <t>Expense growth</t>
        </is>
      </c>
      <c r="J66" s="20" t="n">
        <v>0.3185978694432639</v>
      </c>
      <c r="K66" s="20" t="n">
        <v>0.0250059604449721</v>
      </c>
      <c r="L66" s="19" t="n">
        <v>14.58245285607171</v>
      </c>
      <c r="M66" s="21" t="n">
        <v>0.035557327884901</v>
      </c>
      <c r="N66" s="13" t="n">
        <v>1223176.34</v>
      </c>
      <c r="O66" s="13" t="n">
        <v>1248940.64</v>
      </c>
      <c r="P66" s="20" t="n">
        <v>0</v>
      </c>
      <c r="Q66" s="12" t="inlineStr">
        <is>
          <t>Low</t>
        </is>
      </c>
    </row>
    <row r="67">
      <c r="A67" s="12" t="inlineStr">
        <is>
          <t>C0014</t>
        </is>
      </c>
      <c r="B67" s="12" t="inlineStr">
        <is>
          <t>Salaried</t>
        </is>
      </c>
      <c r="C67" s="12" t="inlineStr">
        <is>
          <t>Dehradun</t>
        </is>
      </c>
      <c r="D67" s="12" t="inlineStr">
        <is>
          <t>Tier 3</t>
        </is>
      </c>
      <c r="E67" s="13" t="n">
        <v>56500</v>
      </c>
      <c r="F67" s="12" t="b">
        <v>1</v>
      </c>
      <c r="G67" s="19" t="n">
        <v>13.3</v>
      </c>
      <c r="H67" s="12" t="inlineStr">
        <is>
          <t>Low</t>
        </is>
      </c>
      <c r="I67" s="12" t="inlineStr">
        <is>
          <t>Expense growth</t>
        </is>
      </c>
      <c r="J67" s="20" t="n">
        <v>0.2820281215619801</v>
      </c>
      <c r="K67" s="20" t="n">
        <v>0.1539199494826832</v>
      </c>
      <c r="L67" s="19" t="n">
        <v>8.910545553005399</v>
      </c>
      <c r="M67" s="21" t="n">
        <v>0.0485914802517225</v>
      </c>
      <c r="N67" s="13" t="n">
        <v>350149.6</v>
      </c>
      <c r="O67" s="13" t="n">
        <v>365671.5</v>
      </c>
      <c r="P67" s="20" t="n">
        <v>0</v>
      </c>
      <c r="Q67" s="12" t="inlineStr">
        <is>
          <t>Low</t>
        </is>
      </c>
    </row>
    <row r="68">
      <c r="A68" s="12" t="inlineStr">
        <is>
          <t>C0064</t>
        </is>
      </c>
      <c r="B68" s="12" t="inlineStr">
        <is>
          <t>Salaried</t>
        </is>
      </c>
      <c r="C68" s="12" t="inlineStr">
        <is>
          <t>Kolkata</t>
        </is>
      </c>
      <c r="D68" s="12" t="inlineStr">
        <is>
          <t>Tier 1</t>
        </is>
      </c>
      <c r="E68" s="13" t="n">
        <v>62500</v>
      </c>
      <c r="F68" s="12" t="b">
        <v>0</v>
      </c>
      <c r="G68" s="19" t="n">
        <v>13.3</v>
      </c>
      <c r="H68" s="12" t="inlineStr">
        <is>
          <t>Low</t>
        </is>
      </c>
      <c r="I68" s="12" t="inlineStr">
        <is>
          <t>Expense growth</t>
        </is>
      </c>
      <c r="J68" s="20" t="n">
        <v>0.3602269352078412</v>
      </c>
      <c r="K68" s="20" t="n">
        <v>0.0261657921163175</v>
      </c>
      <c r="L68" s="19" t="n">
        <v>13.55855777914366</v>
      </c>
      <c r="M68" s="21" t="n">
        <v>0.0585266320794205</v>
      </c>
      <c r="N68" s="13" t="n">
        <v>484784.29</v>
      </c>
      <c r="O68" s="13" t="n">
        <v>502220.48</v>
      </c>
      <c r="P68" s="20" t="n">
        <v>0</v>
      </c>
      <c r="Q68" s="12" t="inlineStr">
        <is>
          <t>Low</t>
        </is>
      </c>
    </row>
    <row r="69">
      <c r="A69" s="12" t="inlineStr">
        <is>
          <t>C0081</t>
        </is>
      </c>
      <c r="B69" s="12" t="inlineStr">
        <is>
          <t>Salaried</t>
        </is>
      </c>
      <c r="C69" s="12" t="inlineStr">
        <is>
          <t>Hyderabad</t>
        </is>
      </c>
      <c r="D69" s="12" t="inlineStr">
        <is>
          <t>Tier 1</t>
        </is>
      </c>
      <c r="E69" s="13" t="n">
        <v>100500</v>
      </c>
      <c r="F69" s="12" t="b">
        <v>1</v>
      </c>
      <c r="G69" s="19" t="n">
        <v>13</v>
      </c>
      <c r="H69" s="12" t="inlineStr">
        <is>
          <t>Low</t>
        </is>
      </c>
      <c r="I69" s="12" t="inlineStr">
        <is>
          <t>Expense growth</t>
        </is>
      </c>
      <c r="J69" s="20" t="n">
        <v>0.2758377393101216</v>
      </c>
      <c r="K69" s="20" t="n">
        <v>0.1548999976171342</v>
      </c>
      <c r="L69" s="19" t="n">
        <v>12.49458212295182</v>
      </c>
      <c r="M69" s="21" t="n">
        <v>0.1254447682776663</v>
      </c>
      <c r="N69" s="13" t="n">
        <v>844279.78</v>
      </c>
      <c r="O69" s="13" t="n">
        <v>871446.4300000001</v>
      </c>
      <c r="P69" s="20" t="n">
        <v>0</v>
      </c>
      <c r="Q69" s="12" t="inlineStr">
        <is>
          <t>Low</t>
        </is>
      </c>
    </row>
    <row r="70">
      <c r="A70" s="12" t="inlineStr">
        <is>
          <t>C0100</t>
        </is>
      </c>
      <c r="B70" s="12" t="inlineStr">
        <is>
          <t>Salaried</t>
        </is>
      </c>
      <c r="C70" s="12" t="inlineStr">
        <is>
          <t>Ahmedabad</t>
        </is>
      </c>
      <c r="D70" s="12" t="inlineStr">
        <is>
          <t>Tier 1</t>
        </is>
      </c>
      <c r="E70" s="13" t="n">
        <v>60900</v>
      </c>
      <c r="F70" s="12" t="b">
        <v>0</v>
      </c>
      <c r="G70" s="19" t="n">
        <v>12.6</v>
      </c>
      <c r="H70" s="12" t="inlineStr">
        <is>
          <t>Low</t>
        </is>
      </c>
      <c r="I70" s="12" t="inlineStr">
        <is>
          <t>Expense growth</t>
        </is>
      </c>
      <c r="J70" s="20" t="n">
        <v>0.3529246149566764</v>
      </c>
      <c r="K70" s="20" t="n">
        <v>0.009930712715214301</v>
      </c>
      <c r="L70" s="19" t="n">
        <v>13.01755603839161</v>
      </c>
      <c r="M70" s="21" t="n">
        <v>0.2304977031601</v>
      </c>
      <c r="N70" s="13" t="n">
        <v>413485.94</v>
      </c>
      <c r="O70" s="13" t="n">
        <v>422772.94</v>
      </c>
      <c r="P70" s="20" t="n">
        <v>0</v>
      </c>
      <c r="Q70" s="12" t="inlineStr">
        <is>
          <t>Low</t>
        </is>
      </c>
    </row>
    <row r="71">
      <c r="A71" s="12" t="inlineStr">
        <is>
          <t>C0023</t>
        </is>
      </c>
      <c r="B71" s="12" t="inlineStr">
        <is>
          <t>Salaried</t>
        </is>
      </c>
      <c r="C71" s="12" t="inlineStr">
        <is>
          <t>Ahmedabad</t>
        </is>
      </c>
      <c r="D71" s="12" t="inlineStr">
        <is>
          <t>Tier 1</t>
        </is>
      </c>
      <c r="E71" s="13" t="n">
        <v>195900</v>
      </c>
      <c r="F71" s="12" t="b">
        <v>1</v>
      </c>
      <c r="G71" s="19" t="n">
        <v>12.3</v>
      </c>
      <c r="H71" s="12" t="inlineStr">
        <is>
          <t>Low</t>
        </is>
      </c>
      <c r="I71" s="12" t="inlineStr">
        <is>
          <t>Deficit borrowing</t>
        </is>
      </c>
      <c r="J71" s="20" t="n">
        <v>0.2212556649679578</v>
      </c>
      <c r="K71" s="20" t="n">
        <v>0.3826877673635896</v>
      </c>
      <c r="L71" s="19" t="n">
        <v>13.40028379454257</v>
      </c>
      <c r="M71" s="21" t="n">
        <v>0.1050865534288431</v>
      </c>
      <c r="N71" s="13" t="n">
        <v>2085488.78</v>
      </c>
      <c r="O71" s="13" t="n">
        <v>2146111.47</v>
      </c>
      <c r="P71" s="20" t="n">
        <v>0</v>
      </c>
      <c r="Q71" s="12" t="inlineStr">
        <is>
          <t>Low</t>
        </is>
      </c>
    </row>
    <row r="72">
      <c r="A72" s="12" t="inlineStr">
        <is>
          <t>C0082</t>
        </is>
      </c>
      <c r="B72" s="12" t="inlineStr">
        <is>
          <t>Salaried</t>
        </is>
      </c>
      <c r="C72" s="12" t="inlineStr">
        <is>
          <t>Dehradun</t>
        </is>
      </c>
      <c r="D72" s="12" t="inlineStr">
        <is>
          <t>Tier 3</t>
        </is>
      </c>
      <c r="E72" s="13" t="n">
        <v>63500</v>
      </c>
      <c r="F72" s="12" t="b">
        <v>0</v>
      </c>
      <c r="G72" s="19" t="n">
        <v>12.1</v>
      </c>
      <c r="H72" s="12" t="inlineStr">
        <is>
          <t>Low</t>
        </is>
      </c>
      <c r="I72" s="12" t="inlineStr">
        <is>
          <t>Emergency buffer</t>
        </is>
      </c>
      <c r="J72" s="20" t="n">
        <v>0.1359768893263613</v>
      </c>
      <c r="K72" s="20" t="n">
        <v>0.1623604082318387</v>
      </c>
      <c r="L72" s="19" t="n">
        <v>3.831227791280208</v>
      </c>
      <c r="M72" s="21" t="n">
        <v>0.0804462198440678</v>
      </c>
      <c r="N72" s="13" t="n">
        <v>135547.99</v>
      </c>
      <c r="O72" s="13" t="n">
        <v>130326.09</v>
      </c>
      <c r="P72" s="20" t="n">
        <v>0</v>
      </c>
      <c r="Q72" s="12" t="inlineStr">
        <is>
          <t>Low</t>
        </is>
      </c>
    </row>
    <row r="73">
      <c r="A73" s="12" t="inlineStr">
        <is>
          <t>C0093</t>
        </is>
      </c>
      <c r="B73" s="12" t="inlineStr">
        <is>
          <t>Salaried</t>
        </is>
      </c>
      <c r="C73" s="12" t="inlineStr">
        <is>
          <t>Kolkata</t>
        </is>
      </c>
      <c r="D73" s="12" t="inlineStr">
        <is>
          <t>Tier 1</t>
        </is>
      </c>
      <c r="E73" s="13" t="n">
        <v>52600</v>
      </c>
      <c r="F73" s="12" t="b">
        <v>0</v>
      </c>
      <c r="G73" s="19" t="n">
        <v>11.7</v>
      </c>
      <c r="H73" s="12" t="inlineStr">
        <is>
          <t>Low</t>
        </is>
      </c>
      <c r="I73" s="12" t="inlineStr">
        <is>
          <t>Emergency buffer</t>
        </is>
      </c>
      <c r="J73" s="20" t="n">
        <v>0.1166713171350816</v>
      </c>
      <c r="K73" s="20" t="n">
        <v>0.1872952220048909</v>
      </c>
      <c r="L73" s="19" t="n">
        <v>4.300118231275233</v>
      </c>
      <c r="M73" s="21" t="n">
        <v>0.042641804879966</v>
      </c>
      <c r="N73" s="13" t="n">
        <v>136589.02</v>
      </c>
      <c r="O73" s="13" t="n">
        <v>131930.11</v>
      </c>
      <c r="P73" s="20" t="n">
        <v>0</v>
      </c>
      <c r="Q73" s="12" t="inlineStr">
        <is>
          <t>Low</t>
        </is>
      </c>
    </row>
    <row r="74">
      <c r="A74" s="12" t="inlineStr">
        <is>
          <t>C0117</t>
        </is>
      </c>
      <c r="B74" s="12" t="inlineStr">
        <is>
          <t>Salaried</t>
        </is>
      </c>
      <c r="C74" s="12" t="inlineStr">
        <is>
          <t>Indore</t>
        </is>
      </c>
      <c r="D74" s="12" t="inlineStr">
        <is>
          <t>Tier 2</t>
        </is>
      </c>
      <c r="E74" s="13" t="n">
        <v>118800</v>
      </c>
      <c r="F74" s="12" t="b">
        <v>1</v>
      </c>
      <c r="G74" s="19" t="n">
        <v>11.6</v>
      </c>
      <c r="H74" s="12" t="inlineStr">
        <is>
          <t>Low</t>
        </is>
      </c>
      <c r="I74" s="12" t="inlineStr">
        <is>
          <t>Savings margin</t>
        </is>
      </c>
      <c r="J74" s="20" t="n">
        <v>0.09771378984472839</v>
      </c>
      <c r="K74" s="20" t="n">
        <v>0.1295386724532007</v>
      </c>
      <c r="L74" s="19" t="n">
        <v>8.69380769387374</v>
      </c>
      <c r="M74" s="21" t="n">
        <v>0.1952215903239427</v>
      </c>
      <c r="N74" s="13" t="n">
        <v>537705.5</v>
      </c>
      <c r="O74" s="13" t="n">
        <v>517131.81</v>
      </c>
      <c r="P74" s="20" t="n">
        <v>0</v>
      </c>
      <c r="Q74" s="12" t="inlineStr">
        <is>
          <t>Low</t>
        </is>
      </c>
    </row>
    <row r="75">
      <c r="A75" s="12" t="inlineStr">
        <is>
          <t>C0092</t>
        </is>
      </c>
      <c r="B75" s="12" t="inlineStr">
        <is>
          <t>Salaried</t>
        </is>
      </c>
      <c r="C75" s="12" t="inlineStr">
        <is>
          <t>Bengaluru</t>
        </is>
      </c>
      <c r="D75" s="12" t="inlineStr">
        <is>
          <t>Tier 1</t>
        </is>
      </c>
      <c r="E75" s="13" t="n">
        <v>149100</v>
      </c>
      <c r="F75" s="12" t="b">
        <v>0</v>
      </c>
      <c r="G75" s="19" t="n">
        <v>11.5</v>
      </c>
      <c r="H75" s="12" t="inlineStr">
        <is>
          <t>Low</t>
        </is>
      </c>
      <c r="I75" s="12" t="inlineStr">
        <is>
          <t>Expense growth</t>
        </is>
      </c>
      <c r="J75" s="20" t="n">
        <v>0.2018346291504349</v>
      </c>
      <c r="K75" s="20" t="n">
        <v>0.0112536300219693</v>
      </c>
      <c r="L75" s="19" t="n">
        <v>6.476252506768701</v>
      </c>
      <c r="M75" s="21" t="n">
        <v>0.1743098775552935</v>
      </c>
      <c r="N75" s="13" t="n">
        <v>457538.95</v>
      </c>
      <c r="O75" s="13" t="n">
        <v>461998.81</v>
      </c>
      <c r="P75" s="20" t="n">
        <v>0</v>
      </c>
      <c r="Q75" s="12" t="inlineStr">
        <is>
          <t>Low</t>
        </is>
      </c>
    </row>
    <row r="76">
      <c r="A76" s="12" t="inlineStr">
        <is>
          <t>C0068</t>
        </is>
      </c>
      <c r="B76" s="12" t="inlineStr">
        <is>
          <t>Freelancer/Gig</t>
        </is>
      </c>
      <c r="C76" s="12" t="inlineStr">
        <is>
          <t>Pune</t>
        </is>
      </c>
      <c r="D76" s="12" t="inlineStr">
        <is>
          <t>Tier 1</t>
        </is>
      </c>
      <c r="E76" s="13" t="n">
        <v>93900</v>
      </c>
      <c r="F76" s="12" t="b">
        <v>0</v>
      </c>
      <c r="G76" s="19" t="n">
        <v>11.2</v>
      </c>
      <c r="H76" s="12" t="inlineStr">
        <is>
          <t>Low</t>
        </is>
      </c>
      <c r="I76" s="12" t="inlineStr">
        <is>
          <t>Deficit borrowing</t>
        </is>
      </c>
      <c r="J76" s="20" t="n">
        <v>0.1969207402762703</v>
      </c>
      <c r="K76" s="20" t="n">
        <v>0</v>
      </c>
      <c r="L76" s="19" t="n">
        <v>9.894626342475689</v>
      </c>
      <c r="M76" s="21" t="n">
        <v>0.3187008655603549</v>
      </c>
      <c r="N76" s="13" t="n">
        <v>374201.46</v>
      </c>
      <c r="O76" s="13" t="n">
        <v>371455.86</v>
      </c>
      <c r="P76" s="20" t="n">
        <v>0</v>
      </c>
      <c r="Q76" s="12" t="inlineStr">
        <is>
          <t>Low</t>
        </is>
      </c>
    </row>
    <row r="77">
      <c r="A77" s="12" t="inlineStr">
        <is>
          <t>C0101</t>
        </is>
      </c>
      <c r="B77" s="12" t="inlineStr">
        <is>
          <t>Salaried</t>
        </is>
      </c>
      <c r="C77" s="12" t="inlineStr">
        <is>
          <t>Bengaluru</t>
        </is>
      </c>
      <c r="D77" s="12" t="inlineStr">
        <is>
          <t>Tier 1</t>
        </is>
      </c>
      <c r="E77" s="13" t="n">
        <v>81200</v>
      </c>
      <c r="F77" s="12" t="b">
        <v>1</v>
      </c>
      <c r="G77" s="19" t="n">
        <v>10.4</v>
      </c>
      <c r="H77" s="12" t="inlineStr">
        <is>
          <t>Low</t>
        </is>
      </c>
      <c r="I77" s="12" t="inlineStr">
        <is>
          <t>Income instability</t>
        </is>
      </c>
      <c r="J77" s="20" t="n">
        <v>0.2030246352075414</v>
      </c>
      <c r="K77" s="20" t="n">
        <v>0.1209833973258701</v>
      </c>
      <c r="L77" s="19" t="n">
        <v>6.90687611906153</v>
      </c>
      <c r="M77" s="21" t="n">
        <v>0.4509483767920627</v>
      </c>
      <c r="N77" s="13" t="n">
        <v>365306.75</v>
      </c>
      <c r="O77" s="13" t="n">
        <v>360035.68</v>
      </c>
      <c r="P77" s="20" t="n">
        <v>0</v>
      </c>
      <c r="Q77" s="12" t="inlineStr">
        <is>
          <t>Low</t>
        </is>
      </c>
    </row>
    <row r="78">
      <c r="A78" s="12" t="inlineStr">
        <is>
          <t>C0025</t>
        </is>
      </c>
      <c r="B78" s="12" t="inlineStr">
        <is>
          <t>Salaried</t>
        </is>
      </c>
      <c r="C78" s="12" t="inlineStr">
        <is>
          <t>Bhopal</t>
        </is>
      </c>
      <c r="D78" s="12" t="inlineStr">
        <is>
          <t>Tier 2</t>
        </is>
      </c>
      <c r="E78" s="13" t="n">
        <v>71400</v>
      </c>
      <c r="F78" s="12" t="b">
        <v>0</v>
      </c>
      <c r="G78" s="19" t="n">
        <v>10.3</v>
      </c>
      <c r="H78" s="12" t="inlineStr">
        <is>
          <t>Low</t>
        </is>
      </c>
      <c r="I78" s="12" t="inlineStr">
        <is>
          <t>Expense growth</t>
        </is>
      </c>
      <c r="J78" s="20" t="n">
        <v>0.3239104742747793</v>
      </c>
      <c r="K78" s="20" t="n">
        <v>0.1509908601169666</v>
      </c>
      <c r="L78" s="19" t="n">
        <v>15.60198288274755</v>
      </c>
      <c r="M78" s="21" t="n">
        <v>0.1170525465118115</v>
      </c>
      <c r="N78" s="13" t="n">
        <v>672317.63</v>
      </c>
      <c r="O78" s="13" t="n">
        <v>685480.8</v>
      </c>
      <c r="P78" s="20" t="n">
        <v>0</v>
      </c>
      <c r="Q78" s="12" t="inlineStr">
        <is>
          <t>Low</t>
        </is>
      </c>
    </row>
    <row r="79">
      <c r="A79" s="12" t="inlineStr">
        <is>
          <t>C0024</t>
        </is>
      </c>
      <c r="B79" s="12" t="inlineStr">
        <is>
          <t>Salaried</t>
        </is>
      </c>
      <c r="C79" s="12" t="inlineStr">
        <is>
          <t>Kolkata</t>
        </is>
      </c>
      <c r="D79" s="12" t="inlineStr">
        <is>
          <t>Tier 1</t>
        </is>
      </c>
      <c r="E79" s="13" t="n">
        <v>53200</v>
      </c>
      <c r="F79" s="12" t="b">
        <v>1</v>
      </c>
      <c r="G79" s="19" t="n">
        <v>10.1</v>
      </c>
      <c r="H79" s="12" t="inlineStr">
        <is>
          <t>Low</t>
        </is>
      </c>
      <c r="I79" s="12" t="inlineStr">
        <is>
          <t>Income instability</t>
        </is>
      </c>
      <c r="J79" s="20" t="n">
        <v>0.2189809930785347</v>
      </c>
      <c r="K79" s="20" t="n">
        <v>0.1162316666849491</v>
      </c>
      <c r="L79" s="19" t="n">
        <v>7.747743381015376</v>
      </c>
      <c r="M79" s="21" t="n">
        <v>0.4397747249539831</v>
      </c>
      <c r="N79" s="13" t="n">
        <v>242642.82</v>
      </c>
      <c r="O79" s="13" t="n">
        <v>247452.49</v>
      </c>
      <c r="P79" s="20" t="n">
        <v>0</v>
      </c>
      <c r="Q79" s="12" t="inlineStr">
        <is>
          <t>Low</t>
        </is>
      </c>
    </row>
    <row r="80">
      <c r="A80" s="12" t="inlineStr">
        <is>
          <t>C0051</t>
        </is>
      </c>
      <c r="B80" s="12" t="inlineStr">
        <is>
          <t>Salaried</t>
        </is>
      </c>
      <c r="C80" s="12" t="inlineStr">
        <is>
          <t>Jaipur</t>
        </is>
      </c>
      <c r="D80" s="12" t="inlineStr">
        <is>
          <t>Tier 2</t>
        </is>
      </c>
      <c r="E80" s="13" t="n">
        <v>73600</v>
      </c>
      <c r="F80" s="12" t="b">
        <v>0</v>
      </c>
      <c r="G80" s="19" t="n">
        <v>10</v>
      </c>
      <c r="H80" s="12" t="inlineStr">
        <is>
          <t>Low</t>
        </is>
      </c>
      <c r="I80" s="12" t="inlineStr">
        <is>
          <t>Income instability</t>
        </is>
      </c>
      <c r="J80" s="20" t="n">
        <v>0.3592978632598515</v>
      </c>
      <c r="K80" s="20" t="n">
        <v>0</v>
      </c>
      <c r="L80" s="19" t="n">
        <v>11.32359541133192</v>
      </c>
      <c r="M80" s="21" t="n">
        <v>0.4331841593885894</v>
      </c>
      <c r="N80" s="13" t="n">
        <v>387733.08</v>
      </c>
      <c r="O80" s="13" t="n">
        <v>397773.75</v>
      </c>
      <c r="P80" s="20" t="n">
        <v>0</v>
      </c>
      <c r="Q80" s="12" t="inlineStr">
        <is>
          <t>Low</t>
        </is>
      </c>
    </row>
    <row r="81">
      <c r="A81" s="12" t="inlineStr">
        <is>
          <t>C0005</t>
        </is>
      </c>
      <c r="B81" s="12" t="inlineStr">
        <is>
          <t>Salaried</t>
        </is>
      </c>
      <c r="C81" s="12" t="inlineStr">
        <is>
          <t>Chandigarh</t>
        </is>
      </c>
      <c r="D81" s="12" t="inlineStr">
        <is>
          <t>Tier 2</t>
        </is>
      </c>
      <c r="E81" s="13" t="n">
        <v>166200</v>
      </c>
      <c r="F81" s="12" t="b">
        <v>0</v>
      </c>
      <c r="G81" s="19" t="n">
        <v>10</v>
      </c>
      <c r="H81" s="12" t="inlineStr">
        <is>
          <t>Low</t>
        </is>
      </c>
      <c r="I81" s="12" t="inlineStr">
        <is>
          <t>Expense growth</t>
        </is>
      </c>
      <c r="J81" s="20" t="n">
        <v>0.2965858961679041</v>
      </c>
      <c r="K81" s="20" t="n">
        <v>0.0268692432132335</v>
      </c>
      <c r="L81" s="19" t="n">
        <v>10.21498605945379</v>
      </c>
      <c r="M81" s="21" t="n">
        <v>0.0441385077878432</v>
      </c>
      <c r="N81" s="13" t="n">
        <v>1059433.54</v>
      </c>
      <c r="O81" s="13" t="n">
        <v>1089340.42</v>
      </c>
      <c r="P81" s="20" t="n">
        <v>0</v>
      </c>
      <c r="Q81" s="12" t="inlineStr">
        <is>
          <t>Low</t>
        </is>
      </c>
    </row>
    <row r="82">
      <c r="A82" s="12" t="inlineStr">
        <is>
          <t>C0057</t>
        </is>
      </c>
      <c r="B82" s="12" t="inlineStr">
        <is>
          <t>Salaried</t>
        </is>
      </c>
      <c r="C82" s="12" t="inlineStr">
        <is>
          <t>Pune</t>
        </is>
      </c>
      <c r="D82" s="12" t="inlineStr">
        <is>
          <t>Tier 1</t>
        </is>
      </c>
      <c r="E82" s="13" t="n">
        <v>111800</v>
      </c>
      <c r="F82" s="12" t="b">
        <v>1</v>
      </c>
      <c r="G82" s="19" t="n">
        <v>10</v>
      </c>
      <c r="H82" s="12" t="inlineStr">
        <is>
          <t>Low</t>
        </is>
      </c>
      <c r="I82" s="12" t="inlineStr">
        <is>
          <t>Income instability</t>
        </is>
      </c>
      <c r="J82" s="20" t="n">
        <v>0.3395710395011022</v>
      </c>
      <c r="K82" s="20" t="n">
        <v>0.284615128775543</v>
      </c>
      <c r="L82" s="19" t="n">
        <v>9.999558796861477</v>
      </c>
      <c r="M82" s="21" t="n">
        <v>0.4341913434338566</v>
      </c>
      <c r="N82" s="13" t="n">
        <v>668596.75</v>
      </c>
      <c r="O82" s="13" t="n">
        <v>699832.97</v>
      </c>
      <c r="P82" s="20" t="n">
        <v>0</v>
      </c>
      <c r="Q82" s="12" t="inlineStr">
        <is>
          <t>Low</t>
        </is>
      </c>
    </row>
    <row r="83">
      <c r="A83" s="12" t="inlineStr">
        <is>
          <t>C0096</t>
        </is>
      </c>
      <c r="B83" s="12" t="inlineStr">
        <is>
          <t>Salaried</t>
        </is>
      </c>
      <c r="C83" s="12" t="inlineStr">
        <is>
          <t>Indore</t>
        </is>
      </c>
      <c r="D83" s="12" t="inlineStr">
        <is>
          <t>Tier 2</t>
        </is>
      </c>
      <c r="E83" s="13" t="n">
        <v>117500</v>
      </c>
      <c r="F83" s="12" t="b">
        <v>0</v>
      </c>
      <c r="G83" s="19" t="n">
        <v>9.9</v>
      </c>
      <c r="H83" s="12" t="inlineStr">
        <is>
          <t>Low</t>
        </is>
      </c>
      <c r="I83" s="12" t="inlineStr">
        <is>
          <t>None</t>
        </is>
      </c>
      <c r="J83" s="20" t="n">
        <v>0.3455956902178784</v>
      </c>
      <c r="K83" s="20" t="n">
        <v>0.1845379851258539</v>
      </c>
      <c r="L83" s="19" t="n">
        <v>11.99878568318775</v>
      </c>
      <c r="M83" s="21" t="n">
        <v>0.430053352837314</v>
      </c>
      <c r="N83" s="13" t="n">
        <v>704522.42</v>
      </c>
      <c r="O83" s="13" t="n">
        <v>737198.23</v>
      </c>
      <c r="P83" s="20" t="n">
        <v>0</v>
      </c>
      <c r="Q83" s="12" t="inlineStr">
        <is>
          <t>Low</t>
        </is>
      </c>
    </row>
    <row r="84">
      <c r="A84" s="12" t="inlineStr">
        <is>
          <t>C0084</t>
        </is>
      </c>
      <c r="B84" s="12" t="inlineStr">
        <is>
          <t>Salaried</t>
        </is>
      </c>
      <c r="C84" s="12" t="inlineStr">
        <is>
          <t>Coimbatore</t>
        </is>
      </c>
      <c r="D84" s="12" t="inlineStr">
        <is>
          <t>Tier 2</t>
        </is>
      </c>
      <c r="E84" s="13" t="n">
        <v>94600</v>
      </c>
      <c r="F84" s="12" t="b">
        <v>1</v>
      </c>
      <c r="G84" s="19" t="n">
        <v>8.199999999999999</v>
      </c>
      <c r="H84" s="12" t="inlineStr">
        <is>
          <t>Low</t>
        </is>
      </c>
      <c r="I84" s="12" t="inlineStr">
        <is>
          <t>None</t>
        </is>
      </c>
      <c r="J84" s="20" t="n">
        <v>0.2611178009242595</v>
      </c>
      <c r="K84" s="20" t="n">
        <v>0.2485661313165392</v>
      </c>
      <c r="L84" s="19" t="n">
        <v>11.4471034229979</v>
      </c>
      <c r="M84" s="21" t="n">
        <v>0.1789724077791135</v>
      </c>
      <c r="N84" s="13" t="n">
        <v>754332.14</v>
      </c>
      <c r="O84" s="13" t="n">
        <v>785401.62</v>
      </c>
      <c r="P84" s="20" t="n">
        <v>0</v>
      </c>
      <c r="Q84" s="12" t="inlineStr">
        <is>
          <t>Low</t>
        </is>
      </c>
    </row>
    <row r="85">
      <c r="A85" s="12" t="inlineStr">
        <is>
          <t>C0054</t>
        </is>
      </c>
      <c r="B85" s="12" t="inlineStr">
        <is>
          <t>Salaried</t>
        </is>
      </c>
      <c r="C85" s="12" t="inlineStr">
        <is>
          <t>Mumbai</t>
        </is>
      </c>
      <c r="D85" s="12" t="inlineStr">
        <is>
          <t>Tier 1</t>
        </is>
      </c>
      <c r="E85" s="13" t="n">
        <v>185300</v>
      </c>
      <c r="F85" s="12" t="b">
        <v>1</v>
      </c>
      <c r="G85" s="19" t="n">
        <v>7.4</v>
      </c>
      <c r="H85" s="12" t="inlineStr">
        <is>
          <t>Low</t>
        </is>
      </c>
      <c r="I85" s="12" t="inlineStr">
        <is>
          <t>None</t>
        </is>
      </c>
      <c r="J85" s="20" t="n">
        <v>0.2866553034646184</v>
      </c>
      <c r="K85" s="20" t="n">
        <v>0.3105413719944016</v>
      </c>
      <c r="L85" s="19" t="n">
        <v>12.02158923423334</v>
      </c>
      <c r="M85" s="21" t="n">
        <v>0.0559679452041297</v>
      </c>
      <c r="N85" s="13" t="n">
        <v>1592574.62</v>
      </c>
      <c r="O85" s="13" t="n">
        <v>1655689.02</v>
      </c>
      <c r="P85" s="20" t="n">
        <v>0</v>
      </c>
      <c r="Q85" s="12" t="inlineStr">
        <is>
          <t>Low</t>
        </is>
      </c>
    </row>
    <row r="86">
      <c r="A86" s="12" t="inlineStr">
        <is>
          <t>C0027</t>
        </is>
      </c>
      <c r="B86" s="12" t="inlineStr">
        <is>
          <t>Salaried</t>
        </is>
      </c>
      <c r="C86" s="12" t="inlineStr">
        <is>
          <t>Chennai</t>
        </is>
      </c>
      <c r="D86" s="12" t="inlineStr">
        <is>
          <t>Tier 1</t>
        </is>
      </c>
      <c r="E86" s="13" t="n">
        <v>145300</v>
      </c>
      <c r="F86" s="12" t="b">
        <v>0</v>
      </c>
      <c r="G86" s="19" t="n">
        <v>7.1</v>
      </c>
      <c r="H86" s="12" t="inlineStr">
        <is>
          <t>Low</t>
        </is>
      </c>
      <c r="I86" s="12" t="inlineStr">
        <is>
          <t>None</t>
        </is>
      </c>
      <c r="J86" s="20" t="n">
        <v>0.1280304344654701</v>
      </c>
      <c r="K86" s="20" t="n">
        <v>0.2436751805310412</v>
      </c>
      <c r="L86" s="19" t="n">
        <v>5.970144337670694</v>
      </c>
      <c r="M86" s="21" t="n">
        <v>0.1534653047032119</v>
      </c>
      <c r="N86" s="13" t="n">
        <v>569627.72</v>
      </c>
      <c r="O86" s="13" t="n">
        <v>550303.6899999999</v>
      </c>
      <c r="P86" s="20" t="n">
        <v>0</v>
      </c>
      <c r="Q86" s="12" t="inlineStr">
        <is>
          <t>Low</t>
        </is>
      </c>
    </row>
    <row r="87">
      <c r="A87" s="12" t="inlineStr">
        <is>
          <t>C0056</t>
        </is>
      </c>
      <c r="B87" s="12" t="inlineStr">
        <is>
          <t>Salaried</t>
        </is>
      </c>
      <c r="C87" s="12" t="inlineStr">
        <is>
          <t>Lucknow</t>
        </is>
      </c>
      <c r="D87" s="12" t="inlineStr">
        <is>
          <t>Tier 2</t>
        </is>
      </c>
      <c r="E87" s="13" t="n">
        <v>81000</v>
      </c>
      <c r="F87" s="12" t="b">
        <v>0</v>
      </c>
      <c r="G87" s="19" t="n">
        <v>6.3</v>
      </c>
      <c r="H87" s="12" t="inlineStr">
        <is>
          <t>Low</t>
        </is>
      </c>
      <c r="I87" s="12" t="inlineStr">
        <is>
          <t>None</t>
        </is>
      </c>
      <c r="J87" s="20" t="n">
        <v>0.3980300021788505</v>
      </c>
      <c r="K87" s="20" t="n">
        <v>0.1375657592080962</v>
      </c>
      <c r="L87" s="19" t="n">
        <v>11.02178158672054</v>
      </c>
      <c r="M87" s="21" t="n">
        <v>0.4150114003370821</v>
      </c>
      <c r="N87" s="13" t="n">
        <v>506000.22</v>
      </c>
      <c r="O87" s="13" t="n">
        <v>535199.36</v>
      </c>
      <c r="P87" s="20" t="n">
        <v>0</v>
      </c>
      <c r="Q87" s="12" t="inlineStr">
        <is>
          <t>Low</t>
        </is>
      </c>
    </row>
    <row r="88">
      <c r="A88" s="12" t="inlineStr">
        <is>
          <t>C0040</t>
        </is>
      </c>
      <c r="B88" s="12" t="inlineStr">
        <is>
          <t>Salaried</t>
        </is>
      </c>
      <c r="C88" s="12" t="inlineStr">
        <is>
          <t>Ranchi</t>
        </is>
      </c>
      <c r="D88" s="12" t="inlineStr">
        <is>
          <t>Tier 3</t>
        </is>
      </c>
      <c r="E88" s="13" t="n">
        <v>38900</v>
      </c>
      <c r="F88" s="12" t="b">
        <v>0</v>
      </c>
      <c r="G88" s="19" t="n">
        <v>4.7</v>
      </c>
      <c r="H88" s="12" t="inlineStr">
        <is>
          <t>Low</t>
        </is>
      </c>
      <c r="I88" s="12" t="inlineStr">
        <is>
          <t>None</t>
        </is>
      </c>
      <c r="J88" s="20" t="n">
        <v>0.1761786093430333</v>
      </c>
      <c r="K88" s="20" t="n">
        <v>0.1133550702604799</v>
      </c>
      <c r="L88" s="19" t="n">
        <v>5.139385453529727</v>
      </c>
      <c r="M88" s="21" t="n">
        <v>0.0513745185774724</v>
      </c>
      <c r="N88" s="13" t="n">
        <v>101625.3</v>
      </c>
      <c r="O88" s="13" t="n">
        <v>101419.36</v>
      </c>
      <c r="P88" s="20" t="n">
        <v>0</v>
      </c>
      <c r="Q88" s="12" t="inlineStr">
        <is>
          <t>Low</t>
        </is>
      </c>
    </row>
    <row r="89">
      <c r="A89" s="12" t="inlineStr">
        <is>
          <t>C0001</t>
        </is>
      </c>
      <c r="B89" s="12" t="inlineStr">
        <is>
          <t>Salaried</t>
        </is>
      </c>
      <c r="C89" s="12" t="inlineStr">
        <is>
          <t>Coimbatore</t>
        </is>
      </c>
      <c r="D89" s="12" t="inlineStr">
        <is>
          <t>Tier 2</t>
        </is>
      </c>
      <c r="E89" s="13" t="n">
        <v>96800</v>
      </c>
      <c r="F89" s="12" t="b">
        <v>1</v>
      </c>
      <c r="G89" s="19" t="n">
        <v>4.1</v>
      </c>
      <c r="H89" s="12" t="inlineStr">
        <is>
          <t>Low</t>
        </is>
      </c>
      <c r="I89" s="12" t="inlineStr">
        <is>
          <t>None</t>
        </is>
      </c>
      <c r="J89" s="20" t="n">
        <v>0.3045767769202278</v>
      </c>
      <c r="K89" s="20" t="n">
        <v>0.251872724567535</v>
      </c>
      <c r="L89" s="19" t="n">
        <v>11.65154381321646</v>
      </c>
      <c r="M89" s="21" t="n">
        <v>0.1365195929427322</v>
      </c>
      <c r="N89" s="13" t="n">
        <v>797692.09</v>
      </c>
      <c r="O89" s="13" t="n">
        <v>831189.17</v>
      </c>
      <c r="P89" s="20" t="n">
        <v>0</v>
      </c>
      <c r="Q89" s="12" t="inlineStr">
        <is>
          <t>Low</t>
        </is>
      </c>
    </row>
    <row r="90">
      <c r="A90" s="12" t="inlineStr">
        <is>
          <t>C0077</t>
        </is>
      </c>
      <c r="B90" s="12" t="inlineStr">
        <is>
          <t>Salaried</t>
        </is>
      </c>
      <c r="C90" s="12" t="inlineStr">
        <is>
          <t>Delhi</t>
        </is>
      </c>
      <c r="D90" s="12" t="inlineStr">
        <is>
          <t>Tier 1</t>
        </is>
      </c>
      <c r="E90" s="13" t="n">
        <v>102700</v>
      </c>
      <c r="F90" s="12" t="b">
        <v>0</v>
      </c>
      <c r="G90" s="19" t="n">
        <v>3.9</v>
      </c>
      <c r="H90" s="12" t="inlineStr">
        <is>
          <t>Low</t>
        </is>
      </c>
      <c r="I90" s="12" t="inlineStr">
        <is>
          <t>None</t>
        </is>
      </c>
      <c r="J90" s="20" t="n">
        <v>0.152934861724741</v>
      </c>
      <c r="K90" s="20" t="n">
        <v>0.1836257817016171</v>
      </c>
      <c r="L90" s="19" t="n">
        <v>7.415049726277509</v>
      </c>
      <c r="M90" s="21" t="n">
        <v>0.1372052073404551</v>
      </c>
      <c r="N90" s="13" t="n">
        <v>451722.37</v>
      </c>
      <c r="O90" s="13" t="n">
        <v>446571.73</v>
      </c>
      <c r="P90" s="20" t="n">
        <v>0</v>
      </c>
      <c r="Q90" s="12" t="inlineStr">
        <is>
          <t>Low</t>
        </is>
      </c>
    </row>
    <row r="91">
      <c r="A91" s="12" t="inlineStr">
        <is>
          <t>C0010</t>
        </is>
      </c>
      <c r="B91" s="12" t="inlineStr">
        <is>
          <t>Salaried</t>
        </is>
      </c>
      <c r="C91" s="12" t="inlineStr">
        <is>
          <t>Jaipur</t>
        </is>
      </c>
      <c r="D91" s="12" t="inlineStr">
        <is>
          <t>Tier 2</t>
        </is>
      </c>
      <c r="E91" s="13" t="n">
        <v>51400</v>
      </c>
      <c r="F91" s="12" t="b">
        <v>0</v>
      </c>
      <c r="G91" s="19" t="n">
        <v>3.4</v>
      </c>
      <c r="H91" s="12" t="inlineStr">
        <is>
          <t>Low</t>
        </is>
      </c>
      <c r="I91" s="12" t="inlineStr">
        <is>
          <t>None</t>
        </is>
      </c>
      <c r="J91" s="20" t="n">
        <v>0.2236433020079049</v>
      </c>
      <c r="K91" s="20" t="n">
        <v>0.1485927976308974</v>
      </c>
      <c r="L91" s="19" t="n">
        <v>5.066524173563663</v>
      </c>
      <c r="M91" s="21" t="n">
        <v>0.0569335751035763</v>
      </c>
      <c r="N91" s="13" t="n">
        <v>146325.93</v>
      </c>
      <c r="O91" s="13" t="n">
        <v>150391.21</v>
      </c>
      <c r="P91" s="20" t="n">
        <v>0</v>
      </c>
      <c r="Q91" s="12" t="inlineStr">
        <is>
          <t>Low</t>
        </is>
      </c>
    </row>
    <row r="92">
      <c r="A92" s="12" t="inlineStr">
        <is>
          <t>C0055</t>
        </is>
      </c>
      <c r="B92" s="12" t="inlineStr">
        <is>
          <t>Salaried</t>
        </is>
      </c>
      <c r="C92" s="12" t="inlineStr">
        <is>
          <t>Bengaluru</t>
        </is>
      </c>
      <c r="D92" s="12" t="inlineStr">
        <is>
          <t>Tier 1</t>
        </is>
      </c>
      <c r="E92" s="13" t="n">
        <v>57700</v>
      </c>
      <c r="F92" s="12" t="b">
        <v>0</v>
      </c>
      <c r="G92" s="19" t="n">
        <v>3.3</v>
      </c>
      <c r="H92" s="12" t="inlineStr">
        <is>
          <t>Low</t>
        </is>
      </c>
      <c r="I92" s="12" t="inlineStr">
        <is>
          <t>None</t>
        </is>
      </c>
      <c r="J92" s="20" t="n">
        <v>0.1892409707991939</v>
      </c>
      <c r="K92" s="20" t="n">
        <v>0.2050436267785063</v>
      </c>
      <c r="L92" s="19" t="n">
        <v>6.702548399316048</v>
      </c>
      <c r="M92" s="21" t="n">
        <v>0.2277855947095959</v>
      </c>
      <c r="N92" s="13" t="n">
        <v>208969.44</v>
      </c>
      <c r="O92" s="13" t="n">
        <v>211135.01</v>
      </c>
      <c r="P92" s="20" t="n">
        <v>0</v>
      </c>
      <c r="Q92" s="12" t="inlineStr">
        <is>
          <t>Low</t>
        </is>
      </c>
    </row>
    <row r="93">
      <c r="A93" s="12" t="inlineStr">
        <is>
          <t>C0066</t>
        </is>
      </c>
      <c r="B93" s="12" t="inlineStr">
        <is>
          <t>Salaried</t>
        </is>
      </c>
      <c r="C93" s="12" t="inlineStr">
        <is>
          <t>Jaipur</t>
        </is>
      </c>
      <c r="D93" s="12" t="inlineStr">
        <is>
          <t>Tier 2</t>
        </is>
      </c>
      <c r="E93" s="13" t="n">
        <v>51700</v>
      </c>
      <c r="F93" s="12" t="b">
        <v>1</v>
      </c>
      <c r="G93" s="19" t="n">
        <v>3.1</v>
      </c>
      <c r="H93" s="12" t="inlineStr">
        <is>
          <t>Low</t>
        </is>
      </c>
      <c r="I93" s="12" t="inlineStr">
        <is>
          <t>None</t>
        </is>
      </c>
      <c r="J93" s="20" t="n">
        <v>0.3814257166201711</v>
      </c>
      <c r="K93" s="20" t="n">
        <v>0.346339084995691</v>
      </c>
      <c r="L93" s="19" t="n">
        <v>10.89558437373127</v>
      </c>
      <c r="M93" s="21" t="n">
        <v>0.0314080402269203</v>
      </c>
      <c r="N93" s="13" t="n">
        <v>327721.4</v>
      </c>
      <c r="O93" s="13" t="n">
        <v>337768.78</v>
      </c>
      <c r="P93" s="20" t="n">
        <v>0</v>
      </c>
      <c r="Q93" s="12" t="inlineStr">
        <is>
          <t>Low</t>
        </is>
      </c>
    </row>
    <row r="94">
      <c r="A94" s="12" t="inlineStr">
        <is>
          <t>C0002</t>
        </is>
      </c>
      <c r="B94" s="12" t="inlineStr">
        <is>
          <t>Salaried</t>
        </is>
      </c>
      <c r="C94" s="12" t="inlineStr">
        <is>
          <t>Pune</t>
        </is>
      </c>
      <c r="D94" s="12" t="inlineStr">
        <is>
          <t>Tier 1</t>
        </is>
      </c>
      <c r="E94" s="13" t="n">
        <v>126700</v>
      </c>
      <c r="F94" s="12" t="b">
        <v>1</v>
      </c>
      <c r="G94" s="19" t="n">
        <v>3</v>
      </c>
      <c r="H94" s="12" t="inlineStr">
        <is>
          <t>Low</t>
        </is>
      </c>
      <c r="I94" s="12" t="inlineStr">
        <is>
          <t>None</t>
        </is>
      </c>
      <c r="J94" s="20" t="n">
        <v>0.1924736921998587</v>
      </c>
      <c r="K94" s="20" t="n">
        <v>0.0970067800576086</v>
      </c>
      <c r="L94" s="19" t="n">
        <v>9.595171667789309</v>
      </c>
      <c r="M94" s="21" t="n">
        <v>0.2273799514427038</v>
      </c>
      <c r="N94" s="13" t="n">
        <v>577892.45</v>
      </c>
      <c r="O94" s="13" t="n">
        <v>577517.95</v>
      </c>
      <c r="P94" s="20" t="n">
        <v>0</v>
      </c>
      <c r="Q94" s="12" t="inlineStr">
        <is>
          <t>Low</t>
        </is>
      </c>
    </row>
    <row r="95">
      <c r="A95" s="12" t="inlineStr">
        <is>
          <t>C0074</t>
        </is>
      </c>
      <c r="B95" s="12" t="inlineStr">
        <is>
          <t>Salaried</t>
        </is>
      </c>
      <c r="C95" s="12" t="inlineStr">
        <is>
          <t>Jaipur</t>
        </is>
      </c>
      <c r="D95" s="12" t="inlineStr">
        <is>
          <t>Tier 2</t>
        </is>
      </c>
      <c r="E95" s="13" t="n">
        <v>98700</v>
      </c>
      <c r="F95" s="12" t="b">
        <v>0</v>
      </c>
      <c r="G95" s="19" t="n">
        <v>2.9</v>
      </c>
      <c r="H95" s="12" t="inlineStr">
        <is>
          <t>Low</t>
        </is>
      </c>
      <c r="I95" s="12" t="inlineStr">
        <is>
          <t>None</t>
        </is>
      </c>
      <c r="J95" s="20" t="n">
        <v>0.1896268876376376</v>
      </c>
      <c r="K95" s="20" t="n">
        <v>0.0169493588547933</v>
      </c>
      <c r="L95" s="19" t="n">
        <v>9.291219597872772</v>
      </c>
      <c r="M95" s="21" t="n">
        <v>0.2110996639485043</v>
      </c>
      <c r="N95" s="13" t="n">
        <v>340143.59</v>
      </c>
      <c r="O95" s="13" t="n">
        <v>336722.97</v>
      </c>
      <c r="P95" s="20" t="n">
        <v>0</v>
      </c>
      <c r="Q95" s="12" t="inlineStr">
        <is>
          <t>Low</t>
        </is>
      </c>
    </row>
    <row r="96">
      <c r="A96" s="12" t="inlineStr">
        <is>
          <t>C0009</t>
        </is>
      </c>
      <c r="B96" s="12" t="inlineStr">
        <is>
          <t>Salaried</t>
        </is>
      </c>
      <c r="C96" s="12" t="inlineStr">
        <is>
          <t>Kolkata</t>
        </is>
      </c>
      <c r="D96" s="12" t="inlineStr">
        <is>
          <t>Tier 1</t>
        </is>
      </c>
      <c r="E96" s="13" t="n">
        <v>126600</v>
      </c>
      <c r="F96" s="12" t="b">
        <v>1</v>
      </c>
      <c r="G96" s="19" t="n">
        <v>2.8</v>
      </c>
      <c r="H96" s="12" t="inlineStr">
        <is>
          <t>Low</t>
        </is>
      </c>
      <c r="I96" s="12" t="inlineStr">
        <is>
          <t>None</t>
        </is>
      </c>
      <c r="J96" s="20" t="n">
        <v>0.465266264279327</v>
      </c>
      <c r="K96" s="20" t="n">
        <v>0.3044013395168707</v>
      </c>
      <c r="L96" s="19" t="n">
        <v>22.8517917228679</v>
      </c>
      <c r="M96" s="21" t="n">
        <v>0.2237465135679768</v>
      </c>
      <c r="N96" s="13" t="n">
        <v>1600815.58</v>
      </c>
      <c r="O96" s="13" t="n">
        <v>1646296.08</v>
      </c>
      <c r="P96" s="20" t="n">
        <v>0</v>
      </c>
      <c r="Q96" s="12" t="inlineStr">
        <is>
          <t>Low</t>
        </is>
      </c>
    </row>
    <row r="97">
      <c r="A97" s="12" t="inlineStr">
        <is>
          <t>C0109</t>
        </is>
      </c>
      <c r="B97" s="12" t="inlineStr">
        <is>
          <t>Salaried</t>
        </is>
      </c>
      <c r="C97" s="12" t="inlineStr">
        <is>
          <t>Mysuru</t>
        </is>
      </c>
      <c r="D97" s="12" t="inlineStr">
        <is>
          <t>Tier 3</t>
        </is>
      </c>
      <c r="E97" s="13" t="n">
        <v>66700</v>
      </c>
      <c r="F97" s="12" t="b">
        <v>0</v>
      </c>
      <c r="G97" s="19" t="n">
        <v>2.5</v>
      </c>
      <c r="H97" s="12" t="inlineStr">
        <is>
          <t>Low</t>
        </is>
      </c>
      <c r="I97" s="12" t="inlineStr">
        <is>
          <t>None</t>
        </is>
      </c>
      <c r="J97" s="20" t="n">
        <v>0.1680742671099509</v>
      </c>
      <c r="K97" s="20" t="n">
        <v>0.0103310989855143</v>
      </c>
      <c r="L97" s="19" t="n">
        <v>8.314680188209509</v>
      </c>
      <c r="M97" s="21" t="n">
        <v>0.0276761658027768</v>
      </c>
      <c r="N97" s="13" t="n">
        <v>242076.62</v>
      </c>
      <c r="O97" s="13" t="n">
        <v>235319.37</v>
      </c>
      <c r="P97" s="20" t="n">
        <v>0</v>
      </c>
      <c r="Q97" s="12" t="inlineStr">
        <is>
          <t>Low</t>
        </is>
      </c>
    </row>
    <row r="98">
      <c r="A98" s="12" t="inlineStr">
        <is>
          <t>C0088</t>
        </is>
      </c>
      <c r="B98" s="12" t="inlineStr">
        <is>
          <t>Salaried</t>
        </is>
      </c>
      <c r="C98" s="12" t="inlineStr">
        <is>
          <t>Guwahati</t>
        </is>
      </c>
      <c r="D98" s="12" t="inlineStr">
        <is>
          <t>Tier 3</t>
        </is>
      </c>
      <c r="E98" s="13" t="n">
        <v>46100</v>
      </c>
      <c r="F98" s="12" t="b">
        <v>1</v>
      </c>
      <c r="G98" s="19" t="n">
        <v>2.4</v>
      </c>
      <c r="H98" s="12" t="inlineStr">
        <is>
          <t>Low</t>
        </is>
      </c>
      <c r="I98" s="12" t="inlineStr">
        <is>
          <t>None</t>
        </is>
      </c>
      <c r="J98" s="20" t="n">
        <v>0.4355451169325147</v>
      </c>
      <c r="K98" s="20" t="n">
        <v>0.2769789016426415</v>
      </c>
      <c r="L98" s="19" t="n">
        <v>17.83139323804826</v>
      </c>
      <c r="M98" s="21" t="n">
        <v>0.2197906223341388</v>
      </c>
      <c r="N98" s="13" t="n">
        <v>434256.33</v>
      </c>
      <c r="O98" s="13" t="n">
        <v>448431.06</v>
      </c>
      <c r="P98" s="20" t="n">
        <v>0</v>
      </c>
      <c r="Q98" s="12" t="inlineStr">
        <is>
          <t>Low</t>
        </is>
      </c>
    </row>
    <row r="99">
      <c r="A99" s="12" t="inlineStr">
        <is>
          <t>C0045</t>
        </is>
      </c>
      <c r="B99" s="12" t="inlineStr">
        <is>
          <t>Salaried</t>
        </is>
      </c>
      <c r="C99" s="12" t="inlineStr">
        <is>
          <t>Guwahati</t>
        </is>
      </c>
      <c r="D99" s="12" t="inlineStr">
        <is>
          <t>Tier 3</t>
        </is>
      </c>
      <c r="E99" s="13" t="n">
        <v>93500</v>
      </c>
      <c r="F99" s="12" t="b">
        <v>0</v>
      </c>
      <c r="G99" s="19" t="n">
        <v>2.3</v>
      </c>
      <c r="H99" s="12" t="inlineStr">
        <is>
          <t>Low</t>
        </is>
      </c>
      <c r="I99" s="12" t="inlineStr">
        <is>
          <t>None</t>
        </is>
      </c>
      <c r="J99" s="20" t="n">
        <v>0.3966614651565981</v>
      </c>
      <c r="K99" s="20" t="n">
        <v>0.1391143328644229</v>
      </c>
      <c r="L99" s="19" t="n">
        <v>14.39624429271126</v>
      </c>
      <c r="M99" s="21" t="n">
        <v>0.2157477770624928</v>
      </c>
      <c r="N99" s="13" t="n">
        <v>705823.6</v>
      </c>
      <c r="O99" s="13" t="n">
        <v>721180.24</v>
      </c>
      <c r="P99" s="20" t="n">
        <v>0</v>
      </c>
      <c r="Q99" s="12" t="inlineStr">
        <is>
          <t>Low</t>
        </is>
      </c>
    </row>
    <row r="100">
      <c r="A100" s="12" t="inlineStr">
        <is>
          <t>C0038</t>
        </is>
      </c>
      <c r="B100" s="12" t="inlineStr">
        <is>
          <t>Salaried</t>
        </is>
      </c>
      <c r="C100" s="12" t="inlineStr">
        <is>
          <t>Bengaluru</t>
        </is>
      </c>
      <c r="D100" s="12" t="inlineStr">
        <is>
          <t>Tier 1</t>
        </is>
      </c>
      <c r="E100" s="13" t="n">
        <v>68400</v>
      </c>
      <c r="F100" s="12" t="b">
        <v>0</v>
      </c>
      <c r="G100" s="19" t="n">
        <v>2</v>
      </c>
      <c r="H100" s="12" t="inlineStr">
        <is>
          <t>Low</t>
        </is>
      </c>
      <c r="I100" s="12" t="inlineStr">
        <is>
          <t>None</t>
        </is>
      </c>
      <c r="J100" s="20" t="n">
        <v>0.1806715815253866</v>
      </c>
      <c r="K100" s="20" t="n">
        <v>0</v>
      </c>
      <c r="L100" s="19" t="n">
        <v>6.860082199996135</v>
      </c>
      <c r="M100" s="21" t="n">
        <v>0.1335125139709745</v>
      </c>
      <c r="N100" s="13" t="n">
        <v>214707.23</v>
      </c>
      <c r="O100" s="13" t="n">
        <v>210796.35</v>
      </c>
      <c r="P100" s="20" t="n">
        <v>0</v>
      </c>
      <c r="Q100" s="12" t="inlineStr">
        <is>
          <t>Low</t>
        </is>
      </c>
    </row>
    <row r="101">
      <c r="A101" s="12" t="inlineStr">
        <is>
          <t>C0089</t>
        </is>
      </c>
      <c r="B101" s="12" t="inlineStr">
        <is>
          <t>Salaried</t>
        </is>
      </c>
      <c r="C101" s="12" t="inlineStr">
        <is>
          <t>Nagpur</t>
        </is>
      </c>
      <c r="D101" s="12" t="inlineStr">
        <is>
          <t>Tier 2</t>
        </is>
      </c>
      <c r="E101" s="13" t="n">
        <v>42600</v>
      </c>
      <c r="F101" s="12" t="b">
        <v>0</v>
      </c>
      <c r="G101" s="19" t="n">
        <v>1.8</v>
      </c>
      <c r="H101" s="12" t="inlineStr">
        <is>
          <t>Low</t>
        </is>
      </c>
      <c r="I101" s="12" t="inlineStr">
        <is>
          <t>None</t>
        </is>
      </c>
      <c r="J101" s="20" t="n">
        <v>0.1993421414436037</v>
      </c>
      <c r="K101" s="20" t="n">
        <v>0.1639975344171305</v>
      </c>
      <c r="L101" s="19" t="n">
        <v>8.637254659834431</v>
      </c>
      <c r="M101" s="21" t="n">
        <v>0.1896896633978265</v>
      </c>
      <c r="N101" s="13" t="n">
        <v>202843.68</v>
      </c>
      <c r="O101" s="13" t="n">
        <v>206023.94</v>
      </c>
      <c r="P101" s="20" t="n">
        <v>0</v>
      </c>
      <c r="Q101" s="12" t="inlineStr">
        <is>
          <t>Low</t>
        </is>
      </c>
    </row>
    <row r="102">
      <c r="A102" s="12" t="inlineStr">
        <is>
          <t>C0060</t>
        </is>
      </c>
      <c r="B102" s="12" t="inlineStr">
        <is>
          <t>Salaried</t>
        </is>
      </c>
      <c r="C102" s="12" t="inlineStr">
        <is>
          <t>Guwahati</t>
        </is>
      </c>
      <c r="D102" s="12" t="inlineStr">
        <is>
          <t>Tier 3</t>
        </is>
      </c>
      <c r="E102" s="13" t="n">
        <v>100300</v>
      </c>
      <c r="F102" s="12" t="b">
        <v>0</v>
      </c>
      <c r="G102" s="19" t="n">
        <v>1.7</v>
      </c>
      <c r="H102" s="12" t="inlineStr">
        <is>
          <t>Low</t>
        </is>
      </c>
      <c r="I102" s="12" t="inlineStr">
        <is>
          <t>None</t>
        </is>
      </c>
      <c r="J102" s="20" t="n">
        <v>0.1745149634712792</v>
      </c>
      <c r="K102" s="20" t="n">
        <v>0.1224821464277989</v>
      </c>
      <c r="L102" s="19" t="n">
        <v>6.367496520950391</v>
      </c>
      <c r="M102" s="21" t="n">
        <v>0.0267009810133052</v>
      </c>
      <c r="N102" s="13" t="n">
        <v>316379.9</v>
      </c>
      <c r="O102" s="13" t="n">
        <v>309825.76</v>
      </c>
      <c r="P102" s="20" t="n">
        <v>0</v>
      </c>
      <c r="Q102" s="12" t="inlineStr">
        <is>
          <t>Low</t>
        </is>
      </c>
    </row>
    <row r="103">
      <c r="A103" s="12" t="inlineStr">
        <is>
          <t>C0003</t>
        </is>
      </c>
      <c r="B103" s="12" t="inlineStr">
        <is>
          <t>Salaried</t>
        </is>
      </c>
      <c r="C103" s="12" t="inlineStr">
        <is>
          <t>Hyderabad</t>
        </is>
      </c>
      <c r="D103" s="12" t="inlineStr">
        <is>
          <t>Tier 1</t>
        </is>
      </c>
      <c r="E103" s="13" t="n">
        <v>93500</v>
      </c>
      <c r="F103" s="12" t="b">
        <v>1</v>
      </c>
      <c r="G103" s="19" t="n">
        <v>1.6</v>
      </c>
      <c r="H103" s="12" t="inlineStr">
        <is>
          <t>Low</t>
        </is>
      </c>
      <c r="I103" s="12" t="inlineStr">
        <is>
          <t>None</t>
        </is>
      </c>
      <c r="J103" s="20" t="n">
        <v>0.1904544616339309</v>
      </c>
      <c r="K103" s="20" t="n">
        <v>0.1104937604817754</v>
      </c>
      <c r="L103" s="19" t="n">
        <v>8.767058595738318</v>
      </c>
      <c r="M103" s="21" t="n">
        <v>0.1505577364946646</v>
      </c>
      <c r="N103" s="13" t="n">
        <v>389400.67</v>
      </c>
      <c r="O103" s="13" t="n">
        <v>391696.18</v>
      </c>
      <c r="P103" s="20" t="n">
        <v>0</v>
      </c>
      <c r="Q103" s="12" t="inlineStr">
        <is>
          <t>Low</t>
        </is>
      </c>
    </row>
    <row r="104">
      <c r="A104" s="12" t="inlineStr">
        <is>
          <t>C0072</t>
        </is>
      </c>
      <c r="B104" s="12" t="inlineStr">
        <is>
          <t>Salaried</t>
        </is>
      </c>
      <c r="C104" s="12" t="inlineStr">
        <is>
          <t>Lucknow</t>
        </is>
      </c>
      <c r="D104" s="12" t="inlineStr">
        <is>
          <t>Tier 2</t>
        </is>
      </c>
      <c r="E104" s="13" t="n">
        <v>129900</v>
      </c>
      <c r="F104" s="12" t="b">
        <v>0</v>
      </c>
      <c r="G104" s="19" t="n">
        <v>1.2</v>
      </c>
      <c r="H104" s="12" t="inlineStr">
        <is>
          <t>Low</t>
        </is>
      </c>
      <c r="I104" s="12" t="inlineStr">
        <is>
          <t>None</t>
        </is>
      </c>
      <c r="J104" s="20" t="n">
        <v>0.1827019103563293</v>
      </c>
      <c r="K104" s="20" t="n">
        <v>0.1724763051151554</v>
      </c>
      <c r="L104" s="19" t="n">
        <v>6.39965824857331</v>
      </c>
      <c r="M104" s="21" t="n">
        <v>0.0508556991006965</v>
      </c>
      <c r="N104" s="13" t="n">
        <v>432072.66</v>
      </c>
      <c r="O104" s="13" t="n">
        <v>433346.08</v>
      </c>
      <c r="P104" s="20" t="n">
        <v>0</v>
      </c>
      <c r="Q104" s="12" t="inlineStr">
        <is>
          <t>Low</t>
        </is>
      </c>
    </row>
    <row r="105">
      <c r="A105" s="12" t="inlineStr">
        <is>
          <t>C0102</t>
        </is>
      </c>
      <c r="B105" s="12" t="inlineStr">
        <is>
          <t>Salaried</t>
        </is>
      </c>
      <c r="C105" s="12" t="inlineStr">
        <is>
          <t>Coimbatore</t>
        </is>
      </c>
      <c r="D105" s="12" t="inlineStr">
        <is>
          <t>Tier 2</t>
        </is>
      </c>
      <c r="E105" s="13" t="n">
        <v>160700</v>
      </c>
      <c r="F105" s="12" t="b">
        <v>1</v>
      </c>
      <c r="G105" s="19" t="n">
        <v>1.1</v>
      </c>
      <c r="H105" s="12" t="inlineStr">
        <is>
          <t>Low</t>
        </is>
      </c>
      <c r="I105" s="12" t="inlineStr">
        <is>
          <t>None</t>
        </is>
      </c>
      <c r="J105" s="20" t="n">
        <v>0.4924717864906614</v>
      </c>
      <c r="K105" s="20" t="n">
        <v>0.2621352788112851</v>
      </c>
      <c r="L105" s="19" t="n">
        <v>20.90757327037788</v>
      </c>
      <c r="M105" s="21" t="n">
        <v>0.1571095748476008</v>
      </c>
      <c r="N105" s="13" t="n">
        <v>1660475.88</v>
      </c>
      <c r="O105" s="13" t="n">
        <v>1715731.97</v>
      </c>
      <c r="P105" s="20" t="n">
        <v>0</v>
      </c>
      <c r="Q105" s="12" t="inlineStr">
        <is>
          <t>Low</t>
        </is>
      </c>
    </row>
    <row r="106">
      <c r="A106" s="12" t="inlineStr">
        <is>
          <t>C0105</t>
        </is>
      </c>
      <c r="B106" s="12" t="inlineStr">
        <is>
          <t>Salaried</t>
        </is>
      </c>
      <c r="C106" s="12" t="inlineStr">
        <is>
          <t>Ranchi</t>
        </is>
      </c>
      <c r="D106" s="12" t="inlineStr">
        <is>
          <t>Tier 3</t>
        </is>
      </c>
      <c r="E106" s="13" t="n">
        <v>97200</v>
      </c>
      <c r="F106" s="12" t="b">
        <v>1</v>
      </c>
      <c r="G106" s="19" t="n">
        <v>1</v>
      </c>
      <c r="H106" s="12" t="inlineStr">
        <is>
          <t>Low</t>
        </is>
      </c>
      <c r="I106" s="12" t="inlineStr">
        <is>
          <t>None</t>
        </is>
      </c>
      <c r="J106" s="20" t="n">
        <v>0.4919222891173416</v>
      </c>
      <c r="K106" s="20" t="n">
        <v>0.2533829663169705</v>
      </c>
      <c r="L106" s="19" t="n">
        <v>16.83915317533373</v>
      </c>
      <c r="M106" s="21" t="n">
        <v>0.1523702603924879</v>
      </c>
      <c r="N106" s="13" t="n">
        <v>780911.21</v>
      </c>
      <c r="O106" s="13" t="n">
        <v>813031.88</v>
      </c>
      <c r="P106" s="20" t="n">
        <v>0</v>
      </c>
      <c r="Q106" s="12" t="inlineStr">
        <is>
          <t>Low</t>
        </is>
      </c>
    </row>
    <row r="107">
      <c r="A107" s="12" t="inlineStr">
        <is>
          <t>C0107</t>
        </is>
      </c>
      <c r="B107" s="12" t="inlineStr">
        <is>
          <t>Salaried</t>
        </is>
      </c>
      <c r="C107" s="12" t="inlineStr">
        <is>
          <t>Udaipur</t>
        </is>
      </c>
      <c r="D107" s="12" t="inlineStr">
        <is>
          <t>Tier 3</t>
        </is>
      </c>
      <c r="E107" s="13" t="n">
        <v>83100</v>
      </c>
      <c r="F107" s="12" t="b">
        <v>1</v>
      </c>
      <c r="G107" s="19" t="n">
        <v>0.8</v>
      </c>
      <c r="H107" s="12" t="inlineStr">
        <is>
          <t>Low</t>
        </is>
      </c>
      <c r="I107" s="12" t="inlineStr">
        <is>
          <t>None</t>
        </is>
      </c>
      <c r="J107" s="20" t="n">
        <v>0.1882844976137904</v>
      </c>
      <c r="K107" s="20" t="n">
        <v>0.2623313990814882</v>
      </c>
      <c r="L107" s="19" t="n">
        <v>6.001794401989705</v>
      </c>
      <c r="M107" s="21" t="n">
        <v>0.0510848241621336</v>
      </c>
      <c r="N107" s="13" t="n">
        <v>288683.85</v>
      </c>
      <c r="O107" s="13" t="n">
        <v>292878.8</v>
      </c>
      <c r="P107" s="20" t="n">
        <v>0</v>
      </c>
      <c r="Q107" s="12" t="inlineStr">
        <is>
          <t>Low</t>
        </is>
      </c>
    </row>
    <row r="108">
      <c r="A108" s="12" t="inlineStr">
        <is>
          <t>C0032</t>
        </is>
      </c>
      <c r="B108" s="12" t="inlineStr">
        <is>
          <t>Salaried</t>
        </is>
      </c>
      <c r="C108" s="12" t="inlineStr">
        <is>
          <t>Chennai</t>
        </is>
      </c>
      <c r="D108" s="12" t="inlineStr">
        <is>
          <t>Tier 1</t>
        </is>
      </c>
      <c r="E108" s="13" t="n">
        <v>116800</v>
      </c>
      <c r="F108" s="12" t="b">
        <v>0</v>
      </c>
      <c r="G108" s="19" t="n">
        <v>0.8</v>
      </c>
      <c r="H108" s="12" t="inlineStr">
        <is>
          <t>Low</t>
        </is>
      </c>
      <c r="I108" s="12" t="inlineStr">
        <is>
          <t>None</t>
        </is>
      </c>
      <c r="J108" s="20" t="n">
        <v>0.4660138405948815</v>
      </c>
      <c r="K108" s="20" t="n">
        <v>0.0247607537029886</v>
      </c>
      <c r="L108" s="19" t="n">
        <v>24.60252685167853</v>
      </c>
      <c r="M108" s="21" t="n">
        <v>0.1393858275950158</v>
      </c>
      <c r="N108" s="13" t="n">
        <v>1183794.7</v>
      </c>
      <c r="O108" s="13" t="n">
        <v>1208692.75</v>
      </c>
      <c r="P108" s="20" t="n">
        <v>0</v>
      </c>
      <c r="Q108" s="12" t="inlineStr">
        <is>
          <t>Low</t>
        </is>
      </c>
    </row>
    <row r="109">
      <c r="A109" s="12" t="inlineStr">
        <is>
          <t>C0031</t>
        </is>
      </c>
      <c r="B109" s="12" t="inlineStr">
        <is>
          <t>Salaried</t>
        </is>
      </c>
      <c r="C109" s="12" t="inlineStr">
        <is>
          <t>Bengaluru</t>
        </is>
      </c>
      <c r="D109" s="12" t="inlineStr">
        <is>
          <t>Tier 1</t>
        </is>
      </c>
      <c r="E109" s="13" t="n">
        <v>142900</v>
      </c>
      <c r="F109" s="12" t="b">
        <v>0</v>
      </c>
      <c r="G109" s="19" t="n">
        <v>0.4</v>
      </c>
      <c r="H109" s="12" t="inlineStr">
        <is>
          <t>Low</t>
        </is>
      </c>
      <c r="I109" s="12" t="inlineStr">
        <is>
          <t>None</t>
        </is>
      </c>
      <c r="J109" s="20" t="n">
        <v>0.4588610107493137</v>
      </c>
      <c r="K109" s="20" t="n">
        <v>0.2306103976725351</v>
      </c>
      <c r="L109" s="19" t="n">
        <v>25.20205486708305</v>
      </c>
      <c r="M109" s="21" t="n">
        <v>0.1215337223401979</v>
      </c>
      <c r="N109" s="13" t="n">
        <v>1730628.51</v>
      </c>
      <c r="O109" s="13" t="n">
        <v>1772430.17</v>
      </c>
      <c r="P109" s="20" t="n">
        <v>0</v>
      </c>
      <c r="Q109" s="12" t="inlineStr">
        <is>
          <t>Low</t>
        </is>
      </c>
    </row>
    <row r="110">
      <c r="A110" s="12" t="inlineStr">
        <is>
          <t>C0049</t>
        </is>
      </c>
      <c r="B110" s="12" t="inlineStr">
        <is>
          <t>Salaried</t>
        </is>
      </c>
      <c r="C110" s="12" t="inlineStr">
        <is>
          <t>Dehradun</t>
        </is>
      </c>
      <c r="D110" s="12" t="inlineStr">
        <is>
          <t>Tier 3</t>
        </is>
      </c>
      <c r="E110" s="13" t="n">
        <v>105800</v>
      </c>
      <c r="F110" s="12" t="b">
        <v>0</v>
      </c>
      <c r="G110" s="19" t="n">
        <v>0.4</v>
      </c>
      <c r="H110" s="12" t="inlineStr">
        <is>
          <t>Low</t>
        </is>
      </c>
      <c r="I110" s="12" t="inlineStr">
        <is>
          <t>None</t>
        </is>
      </c>
      <c r="J110" s="20" t="n">
        <v>0.479944266011971</v>
      </c>
      <c r="K110" s="20" t="n">
        <v>0</v>
      </c>
      <c r="L110" s="19" t="n">
        <v>20.22055632299316</v>
      </c>
      <c r="M110" s="21" t="n">
        <v>0.1193770398248178</v>
      </c>
      <c r="N110" s="13" t="n">
        <v>807302.24</v>
      </c>
      <c r="O110" s="13" t="n">
        <v>828323.0699999999</v>
      </c>
      <c r="P110" s="20" t="n">
        <v>0</v>
      </c>
      <c r="Q110" s="12" t="inlineStr">
        <is>
          <t>Low</t>
        </is>
      </c>
    </row>
    <row r="111">
      <c r="A111" s="12" t="inlineStr">
        <is>
          <t>C0036</t>
        </is>
      </c>
      <c r="B111" s="12" t="inlineStr">
        <is>
          <t>Salaried</t>
        </is>
      </c>
      <c r="C111" s="12" t="inlineStr">
        <is>
          <t>Delhi</t>
        </is>
      </c>
      <c r="D111" s="12" t="inlineStr">
        <is>
          <t>Tier 1</t>
        </is>
      </c>
      <c r="E111" s="13" t="n">
        <v>61000</v>
      </c>
      <c r="F111" s="12" t="b">
        <v>0</v>
      </c>
      <c r="G111" s="19" t="n">
        <v>0.3</v>
      </c>
      <c r="H111" s="12" t="inlineStr">
        <is>
          <t>Low</t>
        </is>
      </c>
      <c r="I111" s="12" t="inlineStr">
        <is>
          <t>None</t>
        </is>
      </c>
      <c r="J111" s="20" t="n">
        <v>0.1957558595627951</v>
      </c>
      <c r="K111" s="20" t="n">
        <v>0.1589605022891937</v>
      </c>
      <c r="L111" s="19" t="n">
        <v>7.164906268507393</v>
      </c>
      <c r="M111" s="21" t="n">
        <v>0.0430196399724421</v>
      </c>
      <c r="N111" s="13" t="n">
        <v>211695.67</v>
      </c>
      <c r="O111" s="13" t="n">
        <v>215129.66</v>
      </c>
      <c r="P111" s="20" t="n">
        <v>0</v>
      </c>
      <c r="Q111" s="12" t="inlineStr">
        <is>
          <t>Low</t>
        </is>
      </c>
    </row>
    <row r="112">
      <c r="A112" s="12" t="inlineStr">
        <is>
          <t>C0035</t>
        </is>
      </c>
      <c r="B112" s="12" t="inlineStr">
        <is>
          <t>Salaried</t>
        </is>
      </c>
      <c r="C112" s="12" t="inlineStr">
        <is>
          <t>Mysuru</t>
        </is>
      </c>
      <c r="D112" s="12" t="inlineStr">
        <is>
          <t>Tier 3</t>
        </is>
      </c>
      <c r="E112" s="13" t="n">
        <v>72200</v>
      </c>
      <c r="F112" s="12" t="b">
        <v>1</v>
      </c>
      <c r="G112" s="19" t="n">
        <v>0</v>
      </c>
      <c r="H112" s="12" t="inlineStr">
        <is>
          <t>Low</t>
        </is>
      </c>
      <c r="I112" s="12" t="inlineStr">
        <is>
          <t>None</t>
        </is>
      </c>
      <c r="J112" s="20" t="n">
        <v>0.4469857620123152</v>
      </c>
      <c r="K112" s="20" t="n">
        <v>0.2046214623741822</v>
      </c>
      <c r="L112" s="19" t="n">
        <v>16.7428763157763</v>
      </c>
      <c r="M112" s="21" t="n">
        <v>0.0304223203938997</v>
      </c>
      <c r="N112" s="13" t="n">
        <v>579759.15</v>
      </c>
      <c r="O112" s="13" t="n">
        <v>599489.99</v>
      </c>
      <c r="P112" s="20" t="n">
        <v>0</v>
      </c>
      <c r="Q112" s="12" t="inlineStr">
        <is>
          <t>Low</t>
        </is>
      </c>
    </row>
    <row r="113">
      <c r="A113" s="12" t="inlineStr">
        <is>
          <t>C0018</t>
        </is>
      </c>
      <c r="B113" s="12" t="inlineStr">
        <is>
          <t>Salaried</t>
        </is>
      </c>
      <c r="C113" s="12" t="inlineStr">
        <is>
          <t>Dehradun</t>
        </is>
      </c>
      <c r="D113" s="12" t="inlineStr">
        <is>
          <t>Tier 3</t>
        </is>
      </c>
      <c r="E113" s="13" t="n">
        <v>59200</v>
      </c>
      <c r="F113" s="12" t="b">
        <v>0</v>
      </c>
      <c r="G113" s="19" t="n">
        <v>0</v>
      </c>
      <c r="H113" s="12" t="inlineStr">
        <is>
          <t>Low</t>
        </is>
      </c>
      <c r="I113" s="12" t="inlineStr">
        <is>
          <t>None</t>
        </is>
      </c>
      <c r="J113" s="20" t="n">
        <v>0.468398604283492</v>
      </c>
      <c r="K113" s="20" t="n">
        <v>0</v>
      </c>
      <c r="L113" s="19" t="n">
        <v>26.4151551154953</v>
      </c>
      <c r="M113" s="21" t="n">
        <v>0.0355951730706334</v>
      </c>
      <c r="N113" s="13" t="n">
        <v>572347.8199999999</v>
      </c>
      <c r="O113" s="13" t="n">
        <v>585224.59</v>
      </c>
      <c r="P113" s="20" t="n">
        <v>0</v>
      </c>
      <c r="Q113" s="12" t="inlineStr">
        <is>
          <t>Low</t>
        </is>
      </c>
    </row>
    <row r="114">
      <c r="A114" s="12" t="inlineStr">
        <is>
          <t>C0050</t>
        </is>
      </c>
      <c r="B114" s="12" t="inlineStr">
        <is>
          <t>Salaried</t>
        </is>
      </c>
      <c r="C114" s="12" t="inlineStr">
        <is>
          <t>Kolkata</t>
        </is>
      </c>
      <c r="D114" s="12" t="inlineStr">
        <is>
          <t>Tier 1</t>
        </is>
      </c>
      <c r="E114" s="13" t="n">
        <v>140600</v>
      </c>
      <c r="F114" s="12" t="b">
        <v>0</v>
      </c>
      <c r="G114" s="19" t="n">
        <v>0</v>
      </c>
      <c r="H114" s="12" t="inlineStr">
        <is>
          <t>Low</t>
        </is>
      </c>
      <c r="I114" s="12" t="inlineStr">
        <is>
          <t>None</t>
        </is>
      </c>
      <c r="J114" s="20" t="n">
        <v>0.5089269815569024</v>
      </c>
      <c r="K114" s="20" t="n">
        <v>0.2451464345346904</v>
      </c>
      <c r="L114" s="19" t="n">
        <v>26.23550581731144</v>
      </c>
      <c r="M114" s="21" t="n">
        <v>0.0600052254866304</v>
      </c>
      <c r="N114" s="13" t="n">
        <v>1664571.09</v>
      </c>
      <c r="O114" s="13" t="n">
        <v>1718430.14</v>
      </c>
      <c r="P114" s="20" t="n">
        <v>0</v>
      </c>
      <c r="Q114" s="12" t="inlineStr">
        <is>
          <t>Low</t>
        </is>
      </c>
    </row>
    <row r="115">
      <c r="A115" s="12" t="inlineStr">
        <is>
          <t>C0042</t>
        </is>
      </c>
      <c r="B115" s="12" t="inlineStr">
        <is>
          <t>Salaried</t>
        </is>
      </c>
      <c r="C115" s="12" t="inlineStr">
        <is>
          <t>Kolkata</t>
        </is>
      </c>
      <c r="D115" s="12" t="inlineStr">
        <is>
          <t>Tier 1</t>
        </is>
      </c>
      <c r="E115" s="13" t="n">
        <v>179300</v>
      </c>
      <c r="F115" s="12" t="b">
        <v>0</v>
      </c>
      <c r="G115" s="19" t="n">
        <v>0</v>
      </c>
      <c r="H115" s="12" t="inlineStr">
        <is>
          <t>Low</t>
        </is>
      </c>
      <c r="I115" s="12" t="inlineStr">
        <is>
          <t>None</t>
        </is>
      </c>
      <c r="J115" s="20" t="n">
        <v>0.4857484918778754</v>
      </c>
      <c r="K115" s="20" t="n">
        <v>0.2127403824280921</v>
      </c>
      <c r="L115" s="19" t="n">
        <v>26.49926297861554</v>
      </c>
      <c r="M115" s="21" t="n">
        <v>0.0437861691414777</v>
      </c>
      <c r="N115" s="13" t="n">
        <v>2084614.12</v>
      </c>
      <c r="O115" s="13" t="n">
        <v>2135055.08</v>
      </c>
      <c r="P115" s="20" t="n">
        <v>0</v>
      </c>
      <c r="Q115" s="12" t="inlineStr">
        <is>
          <t>Low</t>
        </is>
      </c>
    </row>
    <row r="116">
      <c r="A116" s="12" t="inlineStr">
        <is>
          <t>C0104</t>
        </is>
      </c>
      <c r="B116" s="12" t="inlineStr">
        <is>
          <t>Salaried</t>
        </is>
      </c>
      <c r="C116" s="12" t="inlineStr">
        <is>
          <t>Jaipur</t>
        </is>
      </c>
      <c r="D116" s="12" t="inlineStr">
        <is>
          <t>Tier 2</t>
        </is>
      </c>
      <c r="E116" s="13" t="n">
        <v>115700</v>
      </c>
      <c r="F116" s="12" t="b">
        <v>1</v>
      </c>
      <c r="G116" s="19" t="n">
        <v>0</v>
      </c>
      <c r="H116" s="12" t="inlineStr">
        <is>
          <t>Low</t>
        </is>
      </c>
      <c r="I116" s="12" t="inlineStr">
        <is>
          <t>None</t>
        </is>
      </c>
      <c r="J116" s="20" t="n">
        <v>0.2478643140974187</v>
      </c>
      <c r="K116" s="20" t="n">
        <v>0.0981571701203434</v>
      </c>
      <c r="L116" s="19" t="n">
        <v>8.316873473934084</v>
      </c>
      <c r="M116" s="21" t="n">
        <v>0.0577203526993439</v>
      </c>
      <c r="N116" s="13" t="n">
        <v>430733.4</v>
      </c>
      <c r="O116" s="13" t="n">
        <v>437685.25</v>
      </c>
      <c r="P116" s="20" t="n">
        <v>0</v>
      </c>
      <c r="Q116" s="12" t="inlineStr">
        <is>
          <t>Low</t>
        </is>
      </c>
    </row>
    <row r="117">
      <c r="A117" s="12" t="inlineStr">
        <is>
          <t>C0106</t>
        </is>
      </c>
      <c r="B117" s="12" t="inlineStr">
        <is>
          <t>Salaried</t>
        </is>
      </c>
      <c r="C117" s="12" t="inlineStr">
        <is>
          <t>Patna</t>
        </is>
      </c>
      <c r="D117" s="12" t="inlineStr">
        <is>
          <t>Tier 3</t>
        </is>
      </c>
      <c r="E117" s="13" t="n">
        <v>114300</v>
      </c>
      <c r="F117" s="12" t="b">
        <v>0</v>
      </c>
      <c r="G117" s="19" t="n">
        <v>0</v>
      </c>
      <c r="H117" s="12" t="inlineStr">
        <is>
          <t>Low</t>
        </is>
      </c>
      <c r="I117" s="12" t="inlineStr">
        <is>
          <t>None</t>
        </is>
      </c>
      <c r="J117" s="20" t="n">
        <v>0.4411186885241444</v>
      </c>
      <c r="K117" s="20" t="n">
        <v>0</v>
      </c>
      <c r="L117" s="19" t="n">
        <v>30.72962068456487</v>
      </c>
      <c r="M117" s="21" t="n">
        <v>0.0770453008084684</v>
      </c>
      <c r="N117" s="13" t="n">
        <v>1261502.35</v>
      </c>
      <c r="O117" s="13" t="n">
        <v>1287183.67</v>
      </c>
      <c r="P117" s="20" t="n">
        <v>0</v>
      </c>
      <c r="Q117" s="12" t="inlineStr">
        <is>
          <t>Low</t>
        </is>
      </c>
    </row>
    <row r="118">
      <c r="A118" s="12" t="inlineStr">
        <is>
          <t>C0110</t>
        </is>
      </c>
      <c r="B118" s="12" t="inlineStr">
        <is>
          <t>Salaried</t>
        </is>
      </c>
      <c r="C118" s="12" t="inlineStr">
        <is>
          <t>Indore</t>
        </is>
      </c>
      <c r="D118" s="12" t="inlineStr">
        <is>
          <t>Tier 2</t>
        </is>
      </c>
      <c r="E118" s="13" t="n">
        <v>120100</v>
      </c>
      <c r="F118" s="12" t="b">
        <v>0</v>
      </c>
      <c r="G118" s="19" t="n">
        <v>0</v>
      </c>
      <c r="H118" s="12" t="inlineStr">
        <is>
          <t>Low</t>
        </is>
      </c>
      <c r="I118" s="12" t="inlineStr">
        <is>
          <t>None</t>
        </is>
      </c>
      <c r="J118" s="20" t="n">
        <v>0.4333764943300235</v>
      </c>
      <c r="K118" s="20" t="n">
        <v>0</v>
      </c>
      <c r="L118" s="19" t="n">
        <v>23.07071740147085</v>
      </c>
      <c r="M118" s="21" t="n">
        <v>0.0404867147313007</v>
      </c>
      <c r="N118" s="13" t="n">
        <v>1337893.05</v>
      </c>
      <c r="O118" s="13" t="n">
        <v>1356852.49</v>
      </c>
      <c r="P118" s="20" t="n">
        <v>0</v>
      </c>
      <c r="Q118" s="12" t="inlineStr">
        <is>
          <t>Low</t>
        </is>
      </c>
    </row>
    <row r="119">
      <c r="A119" s="12" t="inlineStr">
        <is>
          <t>C0114</t>
        </is>
      </c>
      <c r="B119" s="12" t="inlineStr">
        <is>
          <t>Salaried</t>
        </is>
      </c>
      <c r="C119" s="12" t="inlineStr">
        <is>
          <t>Bengaluru</t>
        </is>
      </c>
      <c r="D119" s="12" t="inlineStr">
        <is>
          <t>Tier 1</t>
        </is>
      </c>
      <c r="E119" s="13" t="n">
        <v>162600</v>
      </c>
      <c r="F119" s="12" t="b">
        <v>0</v>
      </c>
      <c r="G119" s="19" t="n">
        <v>0</v>
      </c>
      <c r="H119" s="12" t="inlineStr">
        <is>
          <t>Low</t>
        </is>
      </c>
      <c r="I119" s="12" t="inlineStr">
        <is>
          <t>None</t>
        </is>
      </c>
      <c r="J119" s="20" t="n">
        <v>0.4632279882068861</v>
      </c>
      <c r="K119" s="20" t="n">
        <v>0.0241275266685419</v>
      </c>
      <c r="L119" s="19" t="n">
        <v>26.87199433088604</v>
      </c>
      <c r="M119" s="21" t="n">
        <v>0.058162892523404</v>
      </c>
      <c r="N119" s="13" t="n">
        <v>1735687.06</v>
      </c>
      <c r="O119" s="13" t="n">
        <v>1774890.02</v>
      </c>
      <c r="P119" s="20" t="n">
        <v>0</v>
      </c>
      <c r="Q119" s="12" t="inlineStr">
        <is>
          <t>Low</t>
        </is>
      </c>
    </row>
    <row r="120">
      <c r="A120" s="12" t="inlineStr">
        <is>
          <t>C0113</t>
        </is>
      </c>
      <c r="B120" s="12" t="inlineStr">
        <is>
          <t>Salaried</t>
        </is>
      </c>
      <c r="C120" s="12" t="inlineStr">
        <is>
          <t>Ahmedabad</t>
        </is>
      </c>
      <c r="D120" s="12" t="inlineStr">
        <is>
          <t>Tier 1</t>
        </is>
      </c>
      <c r="E120" s="13" t="n">
        <v>185100</v>
      </c>
      <c r="F120" s="12" t="b">
        <v>0</v>
      </c>
      <c r="G120" s="19" t="n">
        <v>0</v>
      </c>
      <c r="H120" s="12" t="inlineStr">
        <is>
          <t>Low</t>
        </is>
      </c>
      <c r="I120" s="12" t="inlineStr">
        <is>
          <t>None</t>
        </is>
      </c>
      <c r="J120" s="20" t="n">
        <v>0.4564718810940499</v>
      </c>
      <c r="K120" s="20" t="n">
        <v>0.2424909031749986</v>
      </c>
      <c r="L120" s="19" t="n">
        <v>23.04658090858442</v>
      </c>
      <c r="M120" s="21" t="n">
        <v>0.03835918117604</v>
      </c>
      <c r="N120" s="13" t="n">
        <v>2026128.33</v>
      </c>
      <c r="O120" s="13" t="n">
        <v>2080864.12</v>
      </c>
      <c r="P120" s="20" t="n">
        <v>0</v>
      </c>
      <c r="Q120" s="12" t="inlineStr">
        <is>
          <t>Low</t>
        </is>
      </c>
    </row>
    <row r="121">
      <c r="A121" s="12" t="inlineStr">
        <is>
          <t>C0120</t>
        </is>
      </c>
      <c r="B121" s="12" t="inlineStr">
        <is>
          <t>Salaried</t>
        </is>
      </c>
      <c r="C121" s="12" t="inlineStr">
        <is>
          <t>Ahmedabad</t>
        </is>
      </c>
      <c r="D121" s="12" t="inlineStr">
        <is>
          <t>Tier 1</t>
        </is>
      </c>
      <c r="E121" s="13" t="n">
        <v>129800</v>
      </c>
      <c r="F121" s="12" t="b">
        <v>1</v>
      </c>
      <c r="G121" s="19" t="n">
        <v>0</v>
      </c>
      <c r="H121" s="12" t="inlineStr">
        <is>
          <t>Low</t>
        </is>
      </c>
      <c r="I121" s="12" t="inlineStr">
        <is>
          <t>None</t>
        </is>
      </c>
      <c r="J121" s="20" t="n">
        <v>0.4198693807636564</v>
      </c>
      <c r="K121" s="20" t="n">
        <v>0.08887065629502949</v>
      </c>
      <c r="L121" s="19" t="n">
        <v>21.00762831809832</v>
      </c>
      <c r="M121" s="21" t="n">
        <v>0.0348247758195035</v>
      </c>
      <c r="N121" s="13" t="n">
        <v>1274463.8</v>
      </c>
      <c r="O121" s="13" t="n">
        <v>1296848.47</v>
      </c>
      <c r="P121" s="20" t="n">
        <v>0</v>
      </c>
      <c r="Q121" s="12" t="inlineStr">
        <is>
          <t>Low</t>
        </is>
      </c>
    </row>
  </sheetData>
  <autoFilter ref="A1:Q121"/>
  <conditionalFormatting sqref="H2:H121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Stress band</t>
        </is>
      </c>
      <c r="B1" s="4" t="inlineStr">
        <is>
          <t>Customers</t>
        </is>
      </c>
      <c r="C1" s="4" t="inlineStr">
        <is>
          <t>% of customers</t>
        </is>
      </c>
      <c r="D1" s="4" t="inlineStr">
        <is>
          <t>Avg score</t>
        </is>
      </c>
      <c r="E1" s="4" t="inlineStr">
        <is>
          <t>Avg savings rate</t>
        </is>
      </c>
      <c r="F1" s="4" t="inlineStr">
        <is>
          <t>Avg buffer (months)</t>
        </is>
      </c>
      <c r="G1" s="4" t="inlineStr">
        <is>
          <t>Avg obligation ratio</t>
        </is>
      </c>
      <c r="H1" s="4" t="inlineStr">
        <is>
          <t>Forecast High/Medium</t>
        </is>
      </c>
    </row>
    <row r="2">
      <c r="A2" s="22" t="inlineStr">
        <is>
          <t>Low</t>
        </is>
      </c>
      <c r="B2" s="23">
        <f>COUNTIF(Customers!$H$2:$H$121,A2)</f>
        <v/>
      </c>
      <c r="C2" s="15">
        <f>IFERROR(B2/$B$6,0)</f>
        <v/>
      </c>
      <c r="D2" s="24">
        <f>IFERROR(AVERAGEIF(Customers!$H$2:$H$121,A2,Customers!$G$2:$G$121),0)</f>
        <v/>
      </c>
      <c r="E2" s="15">
        <f>IFERROR(AVERAGEIF(Customers!$H$2:$H$121,A2,Customers!$J$2:$J$121),0)</f>
        <v/>
      </c>
      <c r="F2" s="24">
        <f>IFERROR(AVERAGEIF(Customers!$H$2:$H$121,A2,Customers!$L$2:$L$121),0)</f>
        <v/>
      </c>
      <c r="G2" s="15">
        <f>IFERROR(AVERAGEIF(Customers!$H$2:$H$121,A2,Customers!$K$2:$K$121),0)</f>
        <v/>
      </c>
      <c r="H2" s="23">
        <f>COUNTIFS(Customers!$H$2:$H$121,A2,Customers!$Q$2:$Q$121,"High")+COUNTIFS(Customers!$H$2:$H$121,A2,Customers!$Q$2:$Q$121,"Medium")</f>
        <v/>
      </c>
    </row>
    <row r="3">
      <c r="A3" s="25" t="inlineStr">
        <is>
          <t>Moderate</t>
        </is>
      </c>
      <c r="B3" s="23">
        <f>COUNTIF(Customers!$H$2:$H$121,A3)</f>
        <v/>
      </c>
      <c r="C3" s="15">
        <f>IFERROR(B3/$B$6,0)</f>
        <v/>
      </c>
      <c r="D3" s="24">
        <f>IFERROR(AVERAGEIF(Customers!$H$2:$H$121,A3,Customers!$G$2:$G$121),0)</f>
        <v/>
      </c>
      <c r="E3" s="15">
        <f>IFERROR(AVERAGEIF(Customers!$H$2:$H$121,A3,Customers!$J$2:$J$121),0)</f>
        <v/>
      </c>
      <c r="F3" s="24">
        <f>IFERROR(AVERAGEIF(Customers!$H$2:$H$121,A3,Customers!$L$2:$L$121),0)</f>
        <v/>
      </c>
      <c r="G3" s="15">
        <f>IFERROR(AVERAGEIF(Customers!$H$2:$H$121,A3,Customers!$K$2:$K$121),0)</f>
        <v/>
      </c>
      <c r="H3" s="23">
        <f>COUNTIFS(Customers!$H$2:$H$121,A3,Customers!$Q$2:$Q$121,"High")+COUNTIFS(Customers!$H$2:$H$121,A3,Customers!$Q$2:$Q$121,"Medium")</f>
        <v/>
      </c>
    </row>
    <row r="4">
      <c r="A4" s="26" t="inlineStr">
        <is>
          <t>High</t>
        </is>
      </c>
      <c r="B4" s="23">
        <f>COUNTIF(Customers!$H$2:$H$121,A4)</f>
        <v/>
      </c>
      <c r="C4" s="15">
        <f>IFERROR(B4/$B$6,0)</f>
        <v/>
      </c>
      <c r="D4" s="24">
        <f>IFERROR(AVERAGEIF(Customers!$H$2:$H$121,A4,Customers!$G$2:$G$121),0)</f>
        <v/>
      </c>
      <c r="E4" s="15">
        <f>IFERROR(AVERAGEIF(Customers!$H$2:$H$121,A4,Customers!$J$2:$J$121),0)</f>
        <v/>
      </c>
      <c r="F4" s="24">
        <f>IFERROR(AVERAGEIF(Customers!$H$2:$H$121,A4,Customers!$L$2:$L$121),0)</f>
        <v/>
      </c>
      <c r="G4" s="15">
        <f>IFERROR(AVERAGEIF(Customers!$H$2:$H$121,A4,Customers!$K$2:$K$121),0)</f>
        <v/>
      </c>
      <c r="H4" s="23">
        <f>COUNTIFS(Customers!$H$2:$H$121,A4,Customers!$Q$2:$Q$121,"High")+COUNTIFS(Customers!$H$2:$H$121,A4,Customers!$Q$2:$Q$121,"Medium")</f>
        <v/>
      </c>
    </row>
    <row r="5">
      <c r="A5" s="27" t="inlineStr">
        <is>
          <t>Critical</t>
        </is>
      </c>
      <c r="B5" s="23">
        <f>COUNTIF(Customers!$H$2:$H$121,A5)</f>
        <v/>
      </c>
      <c r="C5" s="15">
        <f>IFERROR(B5/$B$6,0)</f>
        <v/>
      </c>
      <c r="D5" s="24">
        <f>IFERROR(AVERAGEIF(Customers!$H$2:$H$121,A5,Customers!$G$2:$G$121),0)</f>
        <v/>
      </c>
      <c r="E5" s="15">
        <f>IFERROR(AVERAGEIF(Customers!$H$2:$H$121,A5,Customers!$J$2:$J$121),0)</f>
        <v/>
      </c>
      <c r="F5" s="24">
        <f>IFERROR(AVERAGEIF(Customers!$H$2:$H$121,A5,Customers!$L$2:$L$121),0)</f>
        <v/>
      </c>
      <c r="G5" s="15">
        <f>IFERROR(AVERAGEIF(Customers!$H$2:$H$121,A5,Customers!$K$2:$K$121),0)</f>
        <v/>
      </c>
      <c r="H5" s="23">
        <f>COUNTIFS(Customers!$H$2:$H$121,A5,Customers!$Q$2:$Q$121,"High")+COUNTIFS(Customers!$H$2:$H$121,A5,Customers!$Q$2:$Q$121,"Medium")</f>
        <v/>
      </c>
    </row>
    <row r="6">
      <c r="A6" s="28" t="inlineStr">
        <is>
          <t>Total</t>
        </is>
      </c>
      <c r="B6" s="29">
        <f>SUM(B2:B5)</f>
        <v/>
      </c>
      <c r="C6" s="30">
        <f>SUM(C2:C5)</f>
        <v/>
      </c>
      <c r="D6" s="31">
        <f>AVERAGE(Customers!$G$2:$G$121)</f>
        <v/>
      </c>
      <c r="E6" s="30" t="n"/>
      <c r="F6" s="31" t="n"/>
      <c r="G6" s="30" t="n"/>
      <c r="H6" s="29">
        <f>SUM(H2:H5)</f>
        <v/>
      </c>
    </row>
    <row r="9">
      <c r="A9" s="3" t="inlineStr">
        <is>
          <t>Customers by occupation and stress band</t>
        </is>
      </c>
    </row>
    <row r="10">
      <c r="A10" s="4" t="inlineStr">
        <is>
          <t>Occupation</t>
        </is>
      </c>
      <c r="B10" s="4" t="inlineStr">
        <is>
          <t>Low</t>
        </is>
      </c>
      <c r="C10" s="4" t="inlineStr">
        <is>
          <t>Moderate</t>
        </is>
      </c>
      <c r="D10" s="4" t="inlineStr">
        <is>
          <t>High</t>
        </is>
      </c>
      <c r="E10" s="4" t="inlineStr">
        <is>
          <t>Critical</t>
        </is>
      </c>
      <c r="F10" s="4" t="inlineStr">
        <is>
          <t>Total</t>
        </is>
      </c>
      <c r="G10" s="4" t="inlineStr">
        <is>
          <t>% High+Critical</t>
        </is>
      </c>
    </row>
    <row r="11">
      <c r="A11" s="5" t="inlineStr">
        <is>
          <t>Salaried</t>
        </is>
      </c>
      <c r="B11" s="5">
        <f>COUNTIFS(Customers!$B$2:$B$121,$A11,Customers!$H$2:$H$121,B$10)</f>
        <v/>
      </c>
      <c r="C11" s="5">
        <f>COUNTIFS(Customers!$B$2:$B$121,$A11,Customers!$H$2:$H$121,C$10)</f>
        <v/>
      </c>
      <c r="D11" s="5">
        <f>COUNTIFS(Customers!$B$2:$B$121,$A11,Customers!$H$2:$H$121,D$10)</f>
        <v/>
      </c>
      <c r="E11" s="5">
        <f>COUNTIFS(Customers!$B$2:$B$121,$A11,Customers!$H$2:$H$121,E$10)</f>
        <v/>
      </c>
      <c r="F11" s="5">
        <f>SUM(B11:E11)</f>
        <v/>
      </c>
      <c r="G11" s="15">
        <f>IFERROR((D11+E11)/F11,0)</f>
        <v/>
      </c>
    </row>
    <row r="12">
      <c r="A12" s="5" t="inlineStr">
        <is>
          <t>Freelancer/Gig</t>
        </is>
      </c>
      <c r="B12" s="5">
        <f>COUNTIFS(Customers!$B$2:$B$121,$A12,Customers!$H$2:$H$121,B$10)</f>
        <v/>
      </c>
      <c r="C12" s="5">
        <f>COUNTIFS(Customers!$B$2:$B$121,$A12,Customers!$H$2:$H$121,C$10)</f>
        <v/>
      </c>
      <c r="D12" s="5">
        <f>COUNTIFS(Customers!$B$2:$B$121,$A12,Customers!$H$2:$H$121,D$10)</f>
        <v/>
      </c>
      <c r="E12" s="5">
        <f>COUNTIFS(Customers!$B$2:$B$121,$A12,Customers!$H$2:$H$121,E$10)</f>
        <v/>
      </c>
      <c r="F12" s="5">
        <f>SUM(B12:E12)</f>
        <v/>
      </c>
      <c r="G12" s="15">
        <f>IFERROR((D12+E12)/F12,0)</f>
        <v/>
      </c>
    </row>
    <row r="13">
      <c r="A13" s="5" t="inlineStr">
        <is>
          <t>Student</t>
        </is>
      </c>
      <c r="B13" s="5">
        <f>COUNTIFS(Customers!$B$2:$B$121,$A13,Customers!$H$2:$H$121,B$10)</f>
        <v/>
      </c>
      <c r="C13" s="5">
        <f>COUNTIFS(Customers!$B$2:$B$121,$A13,Customers!$H$2:$H$121,C$10)</f>
        <v/>
      </c>
      <c r="D13" s="5">
        <f>COUNTIFS(Customers!$B$2:$B$121,$A13,Customers!$H$2:$H$121,D$10)</f>
        <v/>
      </c>
      <c r="E13" s="5">
        <f>COUNTIFS(Customers!$B$2:$B$121,$A13,Customers!$H$2:$H$121,E$10)</f>
        <v/>
      </c>
      <c r="F13" s="5">
        <f>SUM(B13:E13)</f>
        <v/>
      </c>
      <c r="G13" s="15">
        <f>IFERROR((D13+E13)/F13,0)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58" customWidth="1" min="11" max="11"/>
  </cols>
  <sheetData>
    <row r="1">
      <c r="A1" s="4" t="inlineStr">
        <is>
          <t>Customer</t>
        </is>
      </c>
      <c r="B1" s="4" t="inlineStr">
        <is>
          <t>Occupation</t>
        </is>
      </c>
      <c r="C1" s="4" t="inlineStr">
        <is>
          <t>City</t>
        </is>
      </c>
      <c r="D1" s="4" t="inlineStr">
        <is>
          <t>Stress score</t>
        </is>
      </c>
      <c r="E1" s="4" t="inlineStr">
        <is>
          <t>Stress band</t>
        </is>
      </c>
      <c r="F1" s="4" t="inlineStr">
        <is>
          <t>Top driver</t>
        </is>
      </c>
      <c r="G1" s="4" t="inlineStr">
        <is>
          <t>Current balance (₹)</t>
        </is>
      </c>
      <c r="H1" s="4" t="inlineStr">
        <is>
          <t>Expected end balance (₹)</t>
        </is>
      </c>
      <c r="I1" s="4" t="inlineStr">
        <is>
          <t>P(deficit)</t>
        </is>
      </c>
      <c r="J1" s="4" t="inlineStr">
        <is>
          <t>Forecast tier</t>
        </is>
      </c>
      <c r="K1" s="4" t="inlineStr">
        <is>
          <t>Suggested action</t>
        </is>
      </c>
    </row>
    <row r="2">
      <c r="A2" s="5" t="inlineStr">
        <is>
          <t>C0061</t>
        </is>
      </c>
      <c r="B2" s="5" t="inlineStr">
        <is>
          <t>Student</t>
        </is>
      </c>
      <c r="C2" s="5" t="inlineStr">
        <is>
          <t>Kolkata</t>
        </is>
      </c>
      <c r="D2" s="24" t="n">
        <v>57.3</v>
      </c>
      <c r="E2" s="5" t="inlineStr">
        <is>
          <t>Moderate</t>
        </is>
      </c>
      <c r="F2" s="5" t="inlineStr">
        <is>
          <t>Savings margin</t>
        </is>
      </c>
      <c r="G2" s="14" t="n">
        <v>1775.27</v>
      </c>
      <c r="H2" s="14" t="n">
        <v>-4248.15</v>
      </c>
      <c r="I2" s="15" t="n">
        <v>1</v>
      </c>
      <c r="J2" s="5" t="inlineStr">
        <is>
          <t>High</t>
        </is>
      </c>
      <c r="K2" s="5" t="inlineStr">
        <is>
          <t>Contact this week: payment-date realignment / short-term relief</t>
        </is>
      </c>
    </row>
    <row r="3">
      <c r="A3" s="5" t="inlineStr">
        <is>
          <t>C0028</t>
        </is>
      </c>
      <c r="B3" s="5" t="inlineStr">
        <is>
          <t>Student</t>
        </is>
      </c>
      <c r="C3" s="5" t="inlineStr">
        <is>
          <t>Nagpur</t>
        </is>
      </c>
      <c r="D3" s="24" t="n">
        <v>53.4</v>
      </c>
      <c r="E3" s="5" t="inlineStr">
        <is>
          <t>Moderate</t>
        </is>
      </c>
      <c r="F3" s="5" t="inlineStr">
        <is>
          <t>Savings margin</t>
        </is>
      </c>
      <c r="G3" s="14" t="n">
        <v>3249.27</v>
      </c>
      <c r="H3" s="14" t="n">
        <v>-1529.52</v>
      </c>
      <c r="I3" s="15" t="n">
        <v>1</v>
      </c>
      <c r="J3" s="5" t="inlineStr">
        <is>
          <t>High</t>
        </is>
      </c>
      <c r="K3" s="5" t="inlineStr">
        <is>
          <t>Contact this week: payment-date realignment / short-term relief</t>
        </is>
      </c>
    </row>
    <row r="4">
      <c r="A4" s="5" t="inlineStr">
        <is>
          <t>C0085</t>
        </is>
      </c>
      <c r="B4" s="5" t="inlineStr">
        <is>
          <t>Salaried</t>
        </is>
      </c>
      <c r="C4" s="5" t="inlineStr">
        <is>
          <t>Hyderabad</t>
        </is>
      </c>
      <c r="D4" s="24" t="n">
        <v>82.5</v>
      </c>
      <c r="E4" s="5" t="inlineStr">
        <is>
          <t>Critical</t>
        </is>
      </c>
      <c r="F4" s="5" t="inlineStr">
        <is>
          <t>Savings margin</t>
        </is>
      </c>
      <c r="G4" s="14" t="n">
        <v>11097.79</v>
      </c>
      <c r="H4" s="14" t="n">
        <v>-2972.66</v>
      </c>
      <c r="I4" s="15" t="n">
        <v>0.9664</v>
      </c>
      <c r="J4" s="5" t="inlineStr">
        <is>
          <t>High</t>
        </is>
      </c>
      <c r="K4" s="5" t="inlineStr">
        <is>
          <t>Contact this week: payment-date realignment / short-term relief</t>
        </is>
      </c>
    </row>
    <row r="5">
      <c r="A5" s="5" t="inlineStr">
        <is>
          <t>C0019</t>
        </is>
      </c>
      <c r="B5" s="5" t="inlineStr">
        <is>
          <t>Freelancer/Gig</t>
        </is>
      </c>
      <c r="C5" s="5" t="inlineStr">
        <is>
          <t>Patna</t>
        </is>
      </c>
      <c r="D5" s="24" t="n">
        <v>77.5</v>
      </c>
      <c r="E5" s="5" t="inlineStr">
        <is>
          <t>High</t>
        </is>
      </c>
      <c r="F5" s="5" t="inlineStr">
        <is>
          <t>Savings margin</t>
        </is>
      </c>
      <c r="G5" s="14" t="n">
        <v>14316.01</v>
      </c>
      <c r="H5" s="14" t="n">
        <v>-13221.98</v>
      </c>
      <c r="I5" s="15" t="n">
        <v>0.9544</v>
      </c>
      <c r="J5" s="5" t="inlineStr">
        <is>
          <t>High</t>
        </is>
      </c>
      <c r="K5" s="5" t="inlineStr">
        <is>
          <t>Contact this week: payment-date realignment / short-term relief</t>
        </is>
      </c>
    </row>
    <row r="6">
      <c r="A6" s="5" t="inlineStr">
        <is>
          <t>C0094</t>
        </is>
      </c>
      <c r="B6" s="5" t="inlineStr">
        <is>
          <t>Salaried</t>
        </is>
      </c>
      <c r="C6" s="5" t="inlineStr">
        <is>
          <t>Chennai</t>
        </is>
      </c>
      <c r="D6" s="24" t="n">
        <v>58.3</v>
      </c>
      <c r="E6" s="5" t="inlineStr">
        <is>
          <t>Moderate</t>
        </is>
      </c>
      <c r="F6" s="5" t="inlineStr">
        <is>
          <t>Fixed obligations</t>
        </is>
      </c>
      <c r="G6" s="14" t="n">
        <v>13085.81</v>
      </c>
      <c r="H6" s="14" t="n">
        <v>11591.53</v>
      </c>
      <c r="I6" s="15" t="n">
        <v>0.9505</v>
      </c>
      <c r="J6" s="5" t="inlineStr">
        <is>
          <t>High</t>
        </is>
      </c>
      <c r="K6" s="5" t="inlineStr">
        <is>
          <t>Contact this week: payment-date realignment / short-term relief</t>
        </is>
      </c>
    </row>
    <row r="7">
      <c r="A7" s="5" t="inlineStr">
        <is>
          <t>C0021</t>
        </is>
      </c>
      <c r="B7" s="5" t="inlineStr">
        <is>
          <t>Student</t>
        </is>
      </c>
      <c r="C7" s="5" t="inlineStr">
        <is>
          <t>Mumbai</t>
        </is>
      </c>
      <c r="D7" s="24" t="n">
        <v>53.8</v>
      </c>
      <c r="E7" s="5" t="inlineStr">
        <is>
          <t>Moderate</t>
        </is>
      </c>
      <c r="F7" s="5" t="inlineStr">
        <is>
          <t>Savings margin</t>
        </is>
      </c>
      <c r="G7" s="14" t="n">
        <v>5187.88</v>
      </c>
      <c r="H7" s="14" t="n">
        <v>1731.59</v>
      </c>
      <c r="I7" s="15" t="n">
        <v>0.8117</v>
      </c>
      <c r="J7" s="5" t="inlineStr">
        <is>
          <t>High</t>
        </is>
      </c>
      <c r="K7" s="5" t="inlineStr">
        <is>
          <t>Contact this week: payment-date realignment / short-term relief</t>
        </is>
      </c>
    </row>
    <row r="8">
      <c r="A8" s="5" t="inlineStr">
        <is>
          <t>C0076</t>
        </is>
      </c>
      <c r="B8" s="5" t="inlineStr">
        <is>
          <t>Salaried</t>
        </is>
      </c>
      <c r="C8" s="5" t="inlineStr">
        <is>
          <t>Indore</t>
        </is>
      </c>
      <c r="D8" s="24" t="n">
        <v>74.5</v>
      </c>
      <c r="E8" s="5" t="inlineStr">
        <is>
          <t>High</t>
        </is>
      </c>
      <c r="F8" s="5" t="inlineStr">
        <is>
          <t>Emergency buffer</t>
        </is>
      </c>
      <c r="G8" s="14" t="n">
        <v>26393.9</v>
      </c>
      <c r="H8" s="14" t="n">
        <v>24389.29</v>
      </c>
      <c r="I8" s="15" t="n">
        <v>0.3688</v>
      </c>
      <c r="J8" s="5" t="inlineStr">
        <is>
          <t>Medium</t>
        </is>
      </c>
      <c r="K8" s="5" t="inlineStr">
        <is>
          <t>Spending alert + budget plan</t>
        </is>
      </c>
    </row>
    <row r="9">
      <c r="A9" s="5" t="inlineStr">
        <is>
          <t>C0079</t>
        </is>
      </c>
      <c r="B9" s="5" t="inlineStr">
        <is>
          <t>Student</t>
        </is>
      </c>
      <c r="C9" s="5" t="inlineStr">
        <is>
          <t>Bengaluru</t>
        </is>
      </c>
      <c r="D9" s="24" t="n">
        <v>54.9</v>
      </c>
      <c r="E9" s="5" t="inlineStr">
        <is>
          <t>Moderate</t>
        </is>
      </c>
      <c r="F9" s="5" t="inlineStr">
        <is>
          <t>Savings margin</t>
        </is>
      </c>
      <c r="G9" s="14" t="n">
        <v>8810.549999999999</v>
      </c>
      <c r="H9" s="14" t="n">
        <v>5606.37</v>
      </c>
      <c r="I9" s="15" t="n">
        <v>0.2258</v>
      </c>
      <c r="J9" s="5" t="inlineStr">
        <is>
          <t>Medium</t>
        </is>
      </c>
      <c r="K9" s="5" t="inlineStr">
        <is>
          <t>Low-balance alert</t>
        </is>
      </c>
    </row>
    <row r="10">
      <c r="A10" s="5" t="inlineStr">
        <is>
          <t>C0080</t>
        </is>
      </c>
      <c r="B10" s="5" t="inlineStr">
        <is>
          <t>Freelancer/Gig</t>
        </is>
      </c>
      <c r="C10" s="5" t="inlineStr">
        <is>
          <t>Kolkata</t>
        </is>
      </c>
      <c r="D10" s="24" t="n">
        <v>46.6</v>
      </c>
      <c r="E10" s="5" t="inlineStr">
        <is>
          <t>Moderate</t>
        </is>
      </c>
      <c r="F10" s="5" t="inlineStr">
        <is>
          <t>Emergency buffer</t>
        </is>
      </c>
      <c r="G10" s="14" t="n">
        <v>28476.6</v>
      </c>
      <c r="H10" s="14" t="n">
        <v>23958.28</v>
      </c>
      <c r="I10" s="15" t="n">
        <v>0.2045</v>
      </c>
      <c r="J10" s="5" t="inlineStr">
        <is>
          <t>Medium</t>
        </is>
      </c>
      <c r="K10" s="5" t="inlineStr">
        <is>
          <t>Low-balance 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2026-10-08T17:45:19Z</dcterms:created>
  <dcterms:modified xsi:type="dcterms:W3CDTF">2026-10-08T17:45:19Z</dcterms:modified>
</cp:coreProperties>
</file>